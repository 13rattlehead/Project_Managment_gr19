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ryndin/Desktop/Фаза 1/"/>
    </mc:Choice>
  </mc:AlternateContent>
  <xr:revisionPtr revIDLastSave="0" documentId="13_ncr:1_{E8628F42-5097-4A49-9D52-5CD401AA18D7}" xr6:coauthVersionLast="47" xr6:coauthVersionMax="47" xr10:uidLastSave="{00000000-0000-0000-0000-000000000000}"/>
  <bookViews>
    <workbookView xWindow="-38400" yWindow="-1140" windowWidth="38400" windowHeight="21600" xr2:uid="{90CAB405-6E6F-1242-AE02-25EF59D95868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69" i="3"/>
  <c r="M69" i="3" s="1"/>
  <c r="E66" i="3"/>
  <c r="D66" i="3"/>
  <c r="C66" i="3"/>
  <c r="B66" i="3"/>
  <c r="B63" i="3"/>
  <c r="B69" i="3" s="1"/>
  <c r="W62" i="3"/>
  <c r="U62" i="3"/>
  <c r="S62" i="3"/>
  <c r="Q62" i="3"/>
  <c r="Q70" i="3" s="1"/>
  <c r="P62" i="3"/>
  <c r="P70" i="3" s="1"/>
  <c r="K62" i="3"/>
  <c r="J62" i="3"/>
  <c r="E62" i="3"/>
  <c r="B62" i="3"/>
  <c r="B70" i="3" s="1"/>
  <c r="A62" i="3"/>
  <c r="G62" i="3" s="1"/>
  <c r="W61" i="3"/>
  <c r="V61" i="3"/>
  <c r="U61" i="3"/>
  <c r="T61" i="3"/>
  <c r="Q61" i="3"/>
  <c r="P61" i="3"/>
  <c r="N61" i="3"/>
  <c r="M61" i="3"/>
  <c r="K61" i="3"/>
  <c r="J61" i="3"/>
  <c r="H61" i="3"/>
  <c r="G61" i="3"/>
  <c r="E61" i="3"/>
  <c r="D61" i="3"/>
  <c r="B61" i="3"/>
  <c r="A61" i="3"/>
  <c r="S61" i="3" s="1"/>
  <c r="W60" i="3"/>
  <c r="V60" i="3"/>
  <c r="U60" i="3"/>
  <c r="Q60" i="3"/>
  <c r="P60" i="3"/>
  <c r="O60" i="3"/>
  <c r="N60" i="3"/>
  <c r="K60" i="3"/>
  <c r="J60" i="3"/>
  <c r="I60" i="3"/>
  <c r="H60" i="3"/>
  <c r="E60" i="3"/>
  <c r="D60" i="3"/>
  <c r="C60" i="3"/>
  <c r="B60" i="3"/>
  <c r="B68" i="3" s="1"/>
  <c r="A60" i="3"/>
  <c r="M60" i="3" s="1"/>
  <c r="W59" i="3"/>
  <c r="V59" i="3"/>
  <c r="U59" i="3"/>
  <c r="T59" i="3"/>
  <c r="S59" i="3"/>
  <c r="Q59" i="3"/>
  <c r="Q63" i="3" s="1"/>
  <c r="Q69" i="3" s="1"/>
  <c r="P59" i="3"/>
  <c r="P63" i="3" s="1"/>
  <c r="P69" i="3" s="1"/>
  <c r="N59" i="3"/>
  <c r="M59" i="3"/>
  <c r="K59" i="3"/>
  <c r="K63" i="3" s="1"/>
  <c r="K68" i="3" s="1"/>
  <c r="J59" i="3"/>
  <c r="J63" i="3" s="1"/>
  <c r="J68" i="3" s="1"/>
  <c r="H59" i="3"/>
  <c r="B59" i="3"/>
  <c r="B67" i="3" s="1"/>
  <c r="A59" i="3"/>
  <c r="A67" i="3" s="1"/>
  <c r="K58" i="3"/>
  <c r="J58" i="3"/>
  <c r="I58" i="3"/>
  <c r="H58" i="3"/>
  <c r="E58" i="3"/>
  <c r="D58" i="3"/>
  <c r="C58" i="3"/>
  <c r="B58" i="3"/>
  <c r="AE35" i="3"/>
  <c r="AE34" i="3"/>
  <c r="AE33" i="3"/>
  <c r="AE32" i="3"/>
  <c r="Y31" i="3"/>
  <c r="V31" i="3"/>
  <c r="T31" i="3"/>
  <c r="S31" i="3"/>
  <c r="P31" i="3"/>
  <c r="O31" i="3"/>
  <c r="N31" i="3"/>
  <c r="M31" i="3"/>
  <c r="I31" i="3"/>
  <c r="G31" i="3"/>
  <c r="D31" i="3"/>
  <c r="D62" i="3" s="1"/>
  <c r="C31" i="3"/>
  <c r="C62" i="3" s="1"/>
  <c r="A31" i="3"/>
  <c r="AC30" i="3"/>
  <c r="Y30" i="3"/>
  <c r="S30" i="3"/>
  <c r="O30" i="3"/>
  <c r="O61" i="3" s="1"/>
  <c r="M30" i="3"/>
  <c r="I30" i="3"/>
  <c r="I61" i="3" s="1"/>
  <c r="H30" i="3"/>
  <c r="G30" i="3"/>
  <c r="C30" i="3"/>
  <c r="C61" i="3" s="1"/>
  <c r="A30" i="3"/>
  <c r="AE29" i="3"/>
  <c r="Y29" i="3"/>
  <c r="V29" i="3"/>
  <c r="T29" i="3"/>
  <c r="T60" i="3" s="1"/>
  <c r="S29" i="3"/>
  <c r="M29" i="3"/>
  <c r="G29" i="3"/>
  <c r="A29" i="3"/>
  <c r="AE28" i="3"/>
  <c r="AC28" i="3"/>
  <c r="AB28" i="3"/>
  <c r="AA28" i="3"/>
  <c r="Y28" i="3"/>
  <c r="S28" i="3"/>
  <c r="O28" i="3"/>
  <c r="M28" i="3"/>
  <c r="I28" i="3"/>
  <c r="G28" i="3"/>
  <c r="C28" i="3"/>
  <c r="A28" i="3"/>
  <c r="AE27" i="3"/>
  <c r="AC27" i="3"/>
  <c r="AB27" i="3"/>
  <c r="AA27" i="3"/>
  <c r="Z27" i="3"/>
  <c r="W27" i="3"/>
  <c r="V27" i="3"/>
  <c r="U27" i="3"/>
  <c r="T27" i="3"/>
  <c r="Q27" i="3"/>
  <c r="P27" i="3"/>
  <c r="O27" i="3"/>
  <c r="N27" i="3"/>
  <c r="K27" i="3"/>
  <c r="J27" i="3"/>
  <c r="I27" i="3"/>
  <c r="H27" i="3"/>
  <c r="E27" i="3"/>
  <c r="D27" i="3"/>
  <c r="C27" i="3"/>
  <c r="B27" i="3"/>
  <c r="AE26" i="3"/>
  <c r="AI25" i="3"/>
  <c r="AH25" i="3"/>
  <c r="AG25" i="3"/>
  <c r="AF25" i="3"/>
  <c r="V24" i="3"/>
  <c r="V62" i="3" s="1"/>
  <c r="T24" i="3"/>
  <c r="T62" i="3" s="1"/>
  <c r="S24" i="3"/>
  <c r="P24" i="3"/>
  <c r="O24" i="3"/>
  <c r="O62" i="3" s="1"/>
  <c r="N24" i="3"/>
  <c r="N62" i="3" s="1"/>
  <c r="M24" i="3"/>
  <c r="I24" i="3"/>
  <c r="I62" i="3" s="1"/>
  <c r="H24" i="3"/>
  <c r="H62" i="3" s="1"/>
  <c r="G24" i="3"/>
  <c r="C24" i="3"/>
  <c r="A24" i="3"/>
  <c r="AI23" i="3"/>
  <c r="AH23" i="3"/>
  <c r="AG23" i="3"/>
  <c r="AF23" i="3"/>
  <c r="AE23" i="3"/>
  <c r="Y23" i="3"/>
  <c r="S23" i="3"/>
  <c r="O23" i="3"/>
  <c r="M23" i="3"/>
  <c r="K23" i="3"/>
  <c r="I23" i="3"/>
  <c r="H23" i="3"/>
  <c r="G23" i="3"/>
  <c r="A23" i="3"/>
  <c r="AI22" i="3"/>
  <c r="AH22" i="3"/>
  <c r="AG22" i="3"/>
  <c r="AF22" i="3"/>
  <c r="AE22" i="3"/>
  <c r="AC22" i="3"/>
  <c r="Y22" i="3"/>
  <c r="V22" i="3"/>
  <c r="T22" i="3"/>
  <c r="S22" i="3"/>
  <c r="M22" i="3"/>
  <c r="G22" i="3"/>
  <c r="AI21" i="3"/>
  <c r="AH21" i="3"/>
  <c r="AG21" i="3"/>
  <c r="AF21" i="3"/>
  <c r="AE21" i="3"/>
  <c r="AC21" i="3"/>
  <c r="AB21" i="3"/>
  <c r="Y21" i="3"/>
  <c r="S21" i="3"/>
  <c r="O21" i="3"/>
  <c r="O59" i="3" s="1"/>
  <c r="M21" i="3"/>
  <c r="I21" i="3"/>
  <c r="I59" i="3" s="1"/>
  <c r="G21" i="3"/>
  <c r="E21" i="3"/>
  <c r="E59" i="3" s="1"/>
  <c r="D21" i="3"/>
  <c r="D59" i="3" s="1"/>
  <c r="C21" i="3"/>
  <c r="C59" i="3" s="1"/>
  <c r="A21" i="3"/>
  <c r="AF20" i="3"/>
  <c r="AF24" i="3" s="1"/>
  <c r="AE20" i="3"/>
  <c r="AC20" i="3"/>
  <c r="AI20" i="3" s="1"/>
  <c r="AB20" i="3"/>
  <c r="AH20" i="3" s="1"/>
  <c r="AA20" i="3"/>
  <c r="AG20" i="3" s="1"/>
  <c r="Y20" i="3"/>
  <c r="W20" i="3"/>
  <c r="V20" i="3"/>
  <c r="U20" i="3"/>
  <c r="T20" i="3"/>
  <c r="Q20" i="3"/>
  <c r="P20" i="3"/>
  <c r="O20" i="3"/>
  <c r="N20" i="3"/>
  <c r="K20" i="3"/>
  <c r="J20" i="3"/>
  <c r="I20" i="3"/>
  <c r="H20" i="3"/>
  <c r="E20" i="3"/>
  <c r="D20" i="3"/>
  <c r="C20" i="3"/>
  <c r="B20" i="3"/>
  <c r="AI19" i="3"/>
  <c r="AH19" i="3"/>
  <c r="AG19" i="3"/>
  <c r="AF19" i="3"/>
  <c r="AC19" i="3"/>
  <c r="AB19" i="3"/>
  <c r="AA19" i="3"/>
  <c r="Z19" i="3"/>
  <c r="S18" i="3"/>
  <c r="M18" i="3"/>
  <c r="G18" i="3"/>
  <c r="A18" i="3"/>
  <c r="M62" i="3" l="1"/>
  <c r="T69" i="3"/>
  <c r="O69" i="3"/>
  <c r="H68" i="3"/>
  <c r="AI24" i="3"/>
  <c r="V68" i="3"/>
  <c r="AF28" i="3"/>
  <c r="J69" i="3"/>
  <c r="E69" i="3"/>
  <c r="AG29" i="3"/>
  <c r="S67" i="3"/>
  <c r="M67" i="3"/>
  <c r="A75" i="3"/>
  <c r="A82" i="3" s="1"/>
  <c r="G67" i="3"/>
  <c r="T70" i="3"/>
  <c r="P68" i="3"/>
  <c r="K69" i="3"/>
  <c r="J70" i="3"/>
  <c r="AH24" i="3"/>
  <c r="AH29" i="3" s="1"/>
  <c r="AH26" i="3"/>
  <c r="N69" i="3"/>
  <c r="D77" i="3" s="1"/>
  <c r="W68" i="3"/>
  <c r="C63" i="3"/>
  <c r="C68" i="3" s="1"/>
  <c r="AF27" i="3"/>
  <c r="D63" i="3"/>
  <c r="D69" i="3" s="1"/>
  <c r="AG27" i="3"/>
  <c r="N70" i="3"/>
  <c r="D78" i="3" s="1"/>
  <c r="T63" i="3"/>
  <c r="T67" i="3" s="1"/>
  <c r="W69" i="3"/>
  <c r="E63" i="3"/>
  <c r="E70" i="3" s="1"/>
  <c r="AG28" i="3"/>
  <c r="O70" i="3"/>
  <c r="AF29" i="3"/>
  <c r="H69" i="3"/>
  <c r="I63" i="3"/>
  <c r="I67" i="3" s="1"/>
  <c r="AG24" i="3"/>
  <c r="AG26" i="3"/>
  <c r="O63" i="3"/>
  <c r="O68" i="3" s="1"/>
  <c r="O67" i="3"/>
  <c r="C69" i="3"/>
  <c r="B77" i="3" s="1"/>
  <c r="Q68" i="3"/>
  <c r="K70" i="3"/>
  <c r="V63" i="3"/>
  <c r="V67" i="3" s="1"/>
  <c r="A77" i="3"/>
  <c r="A84" i="3" s="1"/>
  <c r="S60" i="3"/>
  <c r="W63" i="3"/>
  <c r="S69" i="3"/>
  <c r="AF26" i="3"/>
  <c r="H63" i="3"/>
  <c r="H67" i="3" s="1"/>
  <c r="J67" i="3"/>
  <c r="A68" i="3"/>
  <c r="U63" i="3"/>
  <c r="U69" i="3" s="1"/>
  <c r="G60" i="3"/>
  <c r="K67" i="3"/>
  <c r="N63" i="3"/>
  <c r="N68" i="3" s="1"/>
  <c r="A70" i="3"/>
  <c r="G59" i="3"/>
  <c r="P67" i="3"/>
  <c r="G69" i="3"/>
  <c r="Q67" i="3"/>
  <c r="AI28" i="3" l="1"/>
  <c r="AI29" i="3"/>
  <c r="S70" i="3"/>
  <c r="A78" i="3"/>
  <c r="A85" i="3" s="1"/>
  <c r="M70" i="3"/>
  <c r="G70" i="3"/>
  <c r="AH28" i="3"/>
  <c r="AF34" i="3" s="1"/>
  <c r="B84" i="3" s="1"/>
  <c r="C77" i="3"/>
  <c r="AF35" i="3"/>
  <c r="AI26" i="3"/>
  <c r="AF32" i="3" s="1"/>
  <c r="I68" i="3"/>
  <c r="C76" i="3" s="1"/>
  <c r="V70" i="3"/>
  <c r="D70" i="3"/>
  <c r="E67" i="3"/>
  <c r="E68" i="3"/>
  <c r="W70" i="3"/>
  <c r="E78" i="3" s="1"/>
  <c r="W67" i="3"/>
  <c r="C70" i="3"/>
  <c r="B78" i="3" s="1"/>
  <c r="E75" i="3"/>
  <c r="I69" i="3"/>
  <c r="H70" i="3"/>
  <c r="D76" i="3"/>
  <c r="D67" i="3"/>
  <c r="U70" i="3"/>
  <c r="U67" i="3"/>
  <c r="AI27" i="3"/>
  <c r="AF33" i="3" s="1"/>
  <c r="S68" i="3"/>
  <c r="A76" i="3"/>
  <c r="A83" i="3" s="1"/>
  <c r="G68" i="3"/>
  <c r="M68" i="3"/>
  <c r="AH27" i="3"/>
  <c r="C75" i="3"/>
  <c r="C67" i="3"/>
  <c r="V69" i="3"/>
  <c r="I70" i="3"/>
  <c r="E77" i="3"/>
  <c r="N67" i="3"/>
  <c r="D75" i="3" s="1"/>
  <c r="T68" i="3"/>
  <c r="D68" i="3"/>
  <c r="B76" i="3" s="1"/>
  <c r="U68" i="3"/>
  <c r="E76" i="3" l="1"/>
  <c r="B83" i="3" s="1"/>
  <c r="C78" i="3"/>
  <c r="B85" i="3" s="1"/>
  <c r="C85" i="3" s="1"/>
  <c r="B75" i="3"/>
  <c r="B82" i="3" s="1"/>
  <c r="C83" i="3" l="1"/>
  <c r="C82" i="3"/>
  <c r="C84" i="3"/>
</calcChain>
</file>

<file path=xl/sharedStrings.xml><?xml version="1.0" encoding="utf-8"?>
<sst xmlns="http://schemas.openxmlformats.org/spreadsheetml/2006/main" count="64" uniqueCount="32">
  <si>
    <t>Градация оценки</t>
  </si>
  <si>
    <t>Критерии</t>
  </si>
  <si>
    <t>Равная важность</t>
  </si>
  <si>
    <t>С1</t>
  </si>
  <si>
    <t>Умеренное превосходство</t>
  </si>
  <si>
    <t>С2</t>
  </si>
  <si>
    <t>Существенное превосходство</t>
  </si>
  <si>
    <t>С3</t>
  </si>
  <si>
    <t>Значительное превосходство</t>
  </si>
  <si>
    <t>С4</t>
  </si>
  <si>
    <t>Очень сильное превосходство</t>
  </si>
  <si>
    <t>Концепции </t>
  </si>
  <si>
    <t>Описание </t>
  </si>
  <si>
    <t>Бот для изучения языков</t>
  </si>
  <si>
    <t>Менеджер рецептов</t>
  </si>
  <si>
    <t>Трекер привычек</t>
  </si>
  <si>
    <t>Интернет-магазин спорттоваров</t>
  </si>
  <si>
    <t>Language  Bot</t>
  </si>
  <si>
    <t>Recipe Manager</t>
  </si>
  <si>
    <t>Habit Tracker</t>
  </si>
  <si>
    <t>FitLife</t>
  </si>
  <si>
    <t>Сложность реализации</t>
  </si>
  <si>
    <t xml:space="preserve">Потенциал для демонстрации </t>
  </si>
  <si>
    <t xml:space="preserve">Практическая полезность </t>
  </si>
  <si>
    <t xml:space="preserve">Охват тем предмета </t>
  </si>
  <si>
    <t>Рындин Денис</t>
  </si>
  <si>
    <t>Тернавский Даниил</t>
  </si>
  <si>
    <t>Веса</t>
  </si>
  <si>
    <t>Обобщенные матрицы</t>
  </si>
  <si>
    <t>Ранг</t>
  </si>
  <si>
    <t xml:space="preserve">Нормирование </t>
  </si>
  <si>
    <t xml:space="preserve">Вычисление среднего значения по строкам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</si>
</sst>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/>
    <xf numFmtId="0" fontId="1" fillId="3" borderId="4" xfId="0" applyFont="1" applyFill="1" applyBorder="1"/>
    <xf numFmtId="0" fontId="4" fillId="0" borderId="4" xfId="0" applyFont="1" applyBorder="1"/>
    <xf numFmtId="0" fontId="4" fillId="0" borderId="0" xfId="0" applyFont="1"/>
    <xf numFmtId="1" fontId="4" fillId="0" borderId="4" xfId="0" applyNumberFormat="1" applyFont="1" applyBorder="1"/>
    <xf numFmtId="0" fontId="4" fillId="0" borderId="1" xfId="0" applyFont="1" applyBorder="1"/>
    <xf numFmtId="0" fontId="4" fillId="3" borderId="4" xfId="0" applyFont="1" applyFill="1" applyBorder="1"/>
    <xf numFmtId="0" fontId="4" fillId="0" borderId="5" xfId="0" applyFont="1" applyBorder="1"/>
    <xf numFmtId="0" fontId="4" fillId="4" borderId="4" xfId="0" applyFont="1" applyFill="1" applyBorder="1"/>
    <xf numFmtId="0" fontId="5" fillId="0" borderId="0" xfId="0" applyFont="1"/>
    <xf numFmtId="0" fontId="6" fillId="3" borderId="4" xfId="0" applyFont="1" applyFill="1" applyBorder="1"/>
    <xf numFmtId="0" fontId="6" fillId="3" borderId="3" xfId="0" applyFont="1" applyFill="1" applyBorder="1"/>
    <xf numFmtId="0" fontId="4" fillId="2" borderId="0" xfId="0" applyFont="1" applyFill="1"/>
    <xf numFmtId="0" fontId="0" fillId="0" borderId="0" xfId="0"/>
    <xf numFmtId="0" fontId="5" fillId="0" borderId="0" xfId="0" applyFont="1"/>
    <xf numFmtId="0" fontId="4" fillId="0" borderId="0" xfId="0" applyFont="1"/>
    <xf numFmtId="0" fontId="1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4C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D6DA-F449-584A-B9A7-E2D7410E2797}">
  <dimension ref="A2:AI85"/>
  <sheetViews>
    <sheetView tabSelected="1" zoomScale="125" workbookViewId="0">
      <selection activeCell="D85" sqref="D85"/>
    </sheetView>
  </sheetViews>
  <sheetFormatPr baseColWidth="10" defaultRowHeight="16" x14ac:dyDescent="0.2"/>
  <cols>
    <col min="1" max="1" width="16.5" customWidth="1"/>
    <col min="2" max="2" width="10.6640625" customWidth="1"/>
    <col min="3" max="3" width="17.83203125" customWidth="1"/>
    <col min="5" max="5" width="13.33203125" customWidth="1"/>
    <col min="10" max="10" width="19.6640625" customWidth="1"/>
    <col min="11" max="11" width="26.83203125" customWidth="1"/>
    <col min="29" max="29" width="24.5" customWidth="1"/>
    <col min="31" max="31" width="19.1640625" customWidth="1"/>
    <col min="32" max="32" width="19.6640625" customWidth="1"/>
    <col min="35" max="35" width="15.6640625" customWidth="1"/>
  </cols>
  <sheetData>
    <row r="2" spans="2:8" x14ac:dyDescent="0.2">
      <c r="B2" s="1" t="s">
        <v>0</v>
      </c>
      <c r="C2" s="1"/>
      <c r="D2" s="1"/>
      <c r="E2" s="1"/>
      <c r="F2" s="1" t="s">
        <v>1</v>
      </c>
      <c r="G2" s="1"/>
      <c r="H2" s="1"/>
    </row>
    <row r="3" spans="2:8" x14ac:dyDescent="0.2">
      <c r="B3" s="1">
        <v>1</v>
      </c>
      <c r="C3" s="1" t="s">
        <v>2</v>
      </c>
      <c r="D3" s="1"/>
      <c r="E3" s="1"/>
      <c r="F3" s="1" t="s">
        <v>3</v>
      </c>
      <c r="G3" s="1" t="s">
        <v>21</v>
      </c>
      <c r="H3" s="1"/>
    </row>
    <row r="4" spans="2:8" x14ac:dyDescent="0.2">
      <c r="B4" s="1">
        <v>3</v>
      </c>
      <c r="C4" s="1" t="s">
        <v>4</v>
      </c>
      <c r="D4" s="1"/>
      <c r="E4" s="1"/>
      <c r="F4" s="1" t="s">
        <v>5</v>
      </c>
      <c r="G4" s="1" t="s">
        <v>22</v>
      </c>
      <c r="H4" s="1"/>
    </row>
    <row r="5" spans="2:8" x14ac:dyDescent="0.2">
      <c r="B5" s="1">
        <v>5</v>
      </c>
      <c r="C5" s="1" t="s">
        <v>6</v>
      </c>
      <c r="D5" s="1"/>
      <c r="E5" s="1"/>
      <c r="F5" s="1" t="s">
        <v>7</v>
      </c>
      <c r="G5" s="1" t="s">
        <v>23</v>
      </c>
      <c r="H5" s="1"/>
    </row>
    <row r="6" spans="2:8" x14ac:dyDescent="0.2">
      <c r="B6" s="1">
        <v>7</v>
      </c>
      <c r="C6" s="1" t="s">
        <v>8</v>
      </c>
      <c r="D6" s="1"/>
      <c r="E6" s="1"/>
      <c r="F6" s="1" t="s">
        <v>9</v>
      </c>
      <c r="G6" s="1" t="s">
        <v>24</v>
      </c>
      <c r="H6" s="1"/>
    </row>
    <row r="7" spans="2:8" x14ac:dyDescent="0.2">
      <c r="B7" s="1">
        <v>9</v>
      </c>
      <c r="C7" s="1" t="s">
        <v>10</v>
      </c>
      <c r="D7" s="1"/>
      <c r="E7" s="1"/>
      <c r="F7" s="1"/>
      <c r="G7" s="1"/>
      <c r="H7" s="1"/>
    </row>
    <row r="8" spans="2:8" x14ac:dyDescent="0.2">
      <c r="B8" s="1"/>
      <c r="C8" s="1"/>
      <c r="D8" s="1"/>
      <c r="E8" s="1"/>
      <c r="F8" s="1"/>
      <c r="G8" s="1"/>
      <c r="H8" s="1"/>
    </row>
    <row r="9" spans="2:8" x14ac:dyDescent="0.2">
      <c r="B9" s="1"/>
      <c r="C9" s="1"/>
      <c r="D9" s="1"/>
      <c r="E9" s="1"/>
      <c r="F9" s="1"/>
      <c r="G9" s="1"/>
      <c r="H9" s="1"/>
    </row>
    <row r="10" spans="2:8" x14ac:dyDescent="0.2">
      <c r="B10" s="1"/>
      <c r="C10" s="1"/>
      <c r="D10" s="1"/>
      <c r="E10" s="1"/>
      <c r="F10" s="1"/>
      <c r="G10" s="1"/>
      <c r="H10" s="1"/>
    </row>
    <row r="11" spans="2:8" x14ac:dyDescent="0.2">
      <c r="B11" s="1" t="s">
        <v>11</v>
      </c>
      <c r="C11" s="1" t="s">
        <v>12</v>
      </c>
    </row>
    <row r="12" spans="2:8" x14ac:dyDescent="0.2">
      <c r="B12" s="2" t="s">
        <v>17</v>
      </c>
      <c r="C12" t="s">
        <v>13</v>
      </c>
    </row>
    <row r="13" spans="2:8" x14ac:dyDescent="0.2">
      <c r="B13" s="1" t="s">
        <v>20</v>
      </c>
      <c r="C13" t="s">
        <v>16</v>
      </c>
    </row>
    <row r="14" spans="2:8" x14ac:dyDescent="0.2">
      <c r="B14" s="1" t="s">
        <v>19</v>
      </c>
      <c r="C14" t="s">
        <v>15</v>
      </c>
    </row>
    <row r="15" spans="2:8" x14ac:dyDescent="0.2">
      <c r="B15" s="1" t="s">
        <v>18</v>
      </c>
      <c r="C15" t="s">
        <v>14</v>
      </c>
    </row>
    <row r="18" spans="1:35" x14ac:dyDescent="0.2">
      <c r="A18" s="20" t="str">
        <f>G3</f>
        <v>Сложность реализации</v>
      </c>
      <c r="B18" s="21"/>
      <c r="C18" s="21"/>
      <c r="D18" s="21"/>
      <c r="E18" s="22"/>
      <c r="F18" s="3"/>
      <c r="G18" s="20" t="str">
        <f>G4</f>
        <v xml:space="preserve">Потенциал для демонстрации </v>
      </c>
      <c r="H18" s="21"/>
      <c r="I18" s="21"/>
      <c r="J18" s="21"/>
      <c r="K18" s="22"/>
      <c r="L18" s="3"/>
      <c r="M18" s="20" t="str">
        <f>G5</f>
        <v xml:space="preserve">Практическая полезность </v>
      </c>
      <c r="N18" s="21"/>
      <c r="O18" s="21"/>
      <c r="P18" s="21"/>
      <c r="Q18" s="22"/>
      <c r="S18" s="20" t="str">
        <f>G6</f>
        <v xml:space="preserve">Охват тем предмета </v>
      </c>
      <c r="T18" s="21"/>
      <c r="U18" s="21"/>
      <c r="V18" s="21"/>
      <c r="W18" s="22"/>
      <c r="Y18" s="16" t="s">
        <v>25</v>
      </c>
      <c r="Z18" s="17"/>
      <c r="AA18" s="17"/>
      <c r="AB18" s="17"/>
      <c r="AC18" s="17"/>
    </row>
    <row r="19" spans="1:35" x14ac:dyDescent="0.2">
      <c r="A19" s="16" t="s">
        <v>25</v>
      </c>
      <c r="B19" s="17"/>
      <c r="C19" s="17"/>
      <c r="D19" s="17"/>
      <c r="E19" s="17"/>
      <c r="G19" s="16" t="s">
        <v>25</v>
      </c>
      <c r="H19" s="17"/>
      <c r="I19" s="17"/>
      <c r="J19" s="17"/>
      <c r="K19" s="17"/>
      <c r="L19" s="7"/>
      <c r="M19" s="16" t="s">
        <v>25</v>
      </c>
      <c r="N19" s="17"/>
      <c r="O19" s="17"/>
      <c r="P19" s="17"/>
      <c r="Q19" s="17"/>
      <c r="S19" s="16" t="s">
        <v>25</v>
      </c>
      <c r="T19" s="17"/>
      <c r="U19" s="17"/>
      <c r="V19" s="17"/>
      <c r="W19" s="17"/>
      <c r="Z19" s="10" t="str">
        <f>G3</f>
        <v>Сложность реализации</v>
      </c>
      <c r="AA19" s="10" t="str">
        <f>G4</f>
        <v xml:space="preserve">Потенциал для демонстрации </v>
      </c>
      <c r="AB19" s="10" t="str">
        <f>G5</f>
        <v xml:space="preserve">Практическая полезность </v>
      </c>
      <c r="AC19" s="10" t="str">
        <f>G6</f>
        <v xml:space="preserve">Охват тем предмета </v>
      </c>
      <c r="AF19" s="10" t="str">
        <f>G3</f>
        <v>Сложность реализации</v>
      </c>
      <c r="AG19" s="10" t="str">
        <f>G4</f>
        <v xml:space="preserve">Потенциал для демонстрации </v>
      </c>
      <c r="AH19" s="10" t="str">
        <f>G5</f>
        <v xml:space="preserve">Практическая полезность </v>
      </c>
      <c r="AI19" s="10" t="str">
        <f>G6</f>
        <v xml:space="preserve">Охват тем предмета </v>
      </c>
    </row>
    <row r="20" spans="1:35" x14ac:dyDescent="0.2">
      <c r="A20" s="4"/>
      <c r="B20" s="5" t="str">
        <f>$B$12</f>
        <v>Language  Bot</v>
      </c>
      <c r="C20" s="5" t="str">
        <f>$B$13</f>
        <v>FitLife</v>
      </c>
      <c r="D20" s="5" t="str">
        <f>$B$14</f>
        <v>Habit Tracker</v>
      </c>
      <c r="E20" s="5" t="str">
        <f>$B$15</f>
        <v>Recipe Manager</v>
      </c>
      <c r="G20" s="4"/>
      <c r="H20" s="5" t="str">
        <f>$B$12</f>
        <v>Language  Bot</v>
      </c>
      <c r="I20" s="5" t="str">
        <f>$B$13</f>
        <v>FitLife</v>
      </c>
      <c r="J20" s="5" t="str">
        <f>$B$14</f>
        <v>Habit Tracker</v>
      </c>
      <c r="K20" s="5" t="str">
        <f>$B$15</f>
        <v>Recipe Manager</v>
      </c>
      <c r="L20" s="7"/>
      <c r="M20" s="4"/>
      <c r="N20" s="5" t="str">
        <f>$B$12</f>
        <v>Language  Bot</v>
      </c>
      <c r="O20" s="5" t="str">
        <f>$B$13</f>
        <v>FitLife</v>
      </c>
      <c r="P20" s="5" t="str">
        <f>$B$14</f>
        <v>Habit Tracker</v>
      </c>
      <c r="Q20" s="5" t="str">
        <f>$B$15</f>
        <v>Recipe Manager</v>
      </c>
      <c r="S20" s="4"/>
      <c r="T20" s="5" t="str">
        <f>$B$12</f>
        <v>Language  Bot</v>
      </c>
      <c r="U20" s="5" t="str">
        <f>$B$13</f>
        <v>FitLife</v>
      </c>
      <c r="V20" s="5" t="str">
        <f>$B$14</f>
        <v>Habit Tracker</v>
      </c>
      <c r="W20" s="5" t="str">
        <f>$B$15</f>
        <v>Recipe Manager</v>
      </c>
      <c r="Y20" s="10" t="str">
        <f>G3</f>
        <v>Сложность реализации</v>
      </c>
      <c r="Z20" s="6">
        <v>5</v>
      </c>
      <c r="AA20" s="6">
        <f>1/Z21</f>
        <v>0.33333333333333331</v>
      </c>
      <c r="AB20" s="6">
        <f>1/Z22</f>
        <v>0.2</v>
      </c>
      <c r="AC20" s="6">
        <f>1/Z23</f>
        <v>0.14285714285714285</v>
      </c>
      <c r="AE20" s="10" t="str">
        <f>G3</f>
        <v>Сложность реализации</v>
      </c>
      <c r="AF20" s="6">
        <f>POWER(Z20*Z28,1/2)</f>
        <v>2.2360679774997898</v>
      </c>
      <c r="AG20" s="6">
        <f t="shared" ref="AG20:AI23" si="0">POWER(AA20*AA28,1/2)</f>
        <v>0.21821789023599236</v>
      </c>
      <c r="AH20" s="6">
        <f t="shared" si="0"/>
        <v>0.14907119849998599</v>
      </c>
      <c r="AI20" s="6">
        <f t="shared" si="0"/>
        <v>0.21821789023599236</v>
      </c>
    </row>
    <row r="21" spans="1:35" x14ac:dyDescent="0.2">
      <c r="A21" s="5" t="str">
        <f>B12</f>
        <v>Language  Bot</v>
      </c>
      <c r="B21" s="6">
        <v>1</v>
      </c>
      <c r="C21" s="6">
        <f>1/B22</f>
        <v>0.33333333333333331</v>
      </c>
      <c r="D21" s="6">
        <f>1/B23</f>
        <v>0.2</v>
      </c>
      <c r="E21" s="6">
        <f>1/B24</f>
        <v>0.1111111111111111</v>
      </c>
      <c r="F21" s="7"/>
      <c r="G21" s="5" t="str">
        <f>B12</f>
        <v>Language  Bot</v>
      </c>
      <c r="H21" s="6">
        <v>1</v>
      </c>
      <c r="I21" s="6">
        <f>1/H22</f>
        <v>0.14285714285714285</v>
      </c>
      <c r="J21" s="6">
        <v>5</v>
      </c>
      <c r="K21" s="6">
        <v>3</v>
      </c>
      <c r="L21" s="7"/>
      <c r="M21" s="5" t="str">
        <f>B12</f>
        <v>Language  Bot</v>
      </c>
      <c r="N21" s="6">
        <v>1</v>
      </c>
      <c r="O21" s="6">
        <f>1/N22</f>
        <v>0.2</v>
      </c>
      <c r="P21" s="6">
        <v>1</v>
      </c>
      <c r="Q21" s="6">
        <v>3</v>
      </c>
      <c r="S21" s="5" t="str">
        <f>B12</f>
        <v>Language  Bot</v>
      </c>
      <c r="T21" s="6">
        <v>1</v>
      </c>
      <c r="U21" s="6">
        <v>3</v>
      </c>
      <c r="V21" s="6">
        <v>1</v>
      </c>
      <c r="W21" s="9">
        <v>3</v>
      </c>
      <c r="Y21" s="10" t="str">
        <f t="shared" ref="Y21:Y23" si="1">G4</f>
        <v xml:space="preserve">Потенциал для демонстрации </v>
      </c>
      <c r="Z21" s="6">
        <v>3</v>
      </c>
      <c r="AA21" s="6">
        <v>1</v>
      </c>
      <c r="AB21" s="6">
        <f>1/AA22</f>
        <v>0.2</v>
      </c>
      <c r="AC21" s="6">
        <f>1/AA23</f>
        <v>0.14285714285714285</v>
      </c>
      <c r="AE21" s="10" t="str">
        <f t="shared" ref="AE21:AE23" si="2">G4</f>
        <v xml:space="preserve">Потенциал для демонстрации </v>
      </c>
      <c r="AF21" s="6">
        <f t="shared" ref="AF21:AF23" si="3">POWER(Z21*Z29,1/2)</f>
        <v>4.5825756949558398</v>
      </c>
      <c r="AG21" s="6">
        <f t="shared" si="0"/>
        <v>1</v>
      </c>
      <c r="AH21" s="6">
        <f t="shared" si="0"/>
        <v>0.2581988897342512</v>
      </c>
      <c r="AI21" s="6">
        <f t="shared" si="0"/>
        <v>0.3779644730092272</v>
      </c>
    </row>
    <row r="22" spans="1:35" x14ac:dyDescent="0.2">
      <c r="A22" s="5" t="str">
        <f>B13</f>
        <v>FitLife</v>
      </c>
      <c r="B22" s="6">
        <v>3</v>
      </c>
      <c r="C22" s="6">
        <v>1</v>
      </c>
      <c r="D22" s="6">
        <v>1</v>
      </c>
      <c r="E22" s="6">
        <v>5</v>
      </c>
      <c r="F22" s="7"/>
      <c r="G22" s="5" t="str">
        <f t="shared" ref="G22:G24" si="4">B13</f>
        <v>FitLife</v>
      </c>
      <c r="H22" s="6">
        <v>7</v>
      </c>
      <c r="I22" s="6">
        <v>1</v>
      </c>
      <c r="J22" s="6">
        <v>5</v>
      </c>
      <c r="K22" s="6">
        <v>7</v>
      </c>
      <c r="M22" s="5" t="str">
        <f t="shared" ref="M22:M24" si="5">B13</f>
        <v>FitLife</v>
      </c>
      <c r="N22" s="6">
        <v>5</v>
      </c>
      <c r="O22" s="6">
        <v>1</v>
      </c>
      <c r="P22" s="6">
        <v>5</v>
      </c>
      <c r="Q22" s="6">
        <v>5</v>
      </c>
      <c r="S22" s="5" t="str">
        <f t="shared" ref="S22:S24" si="6">B13</f>
        <v>FitLife</v>
      </c>
      <c r="T22" s="6">
        <f>1/U21</f>
        <v>0.33333333333333331</v>
      </c>
      <c r="U22" s="6">
        <v>1</v>
      </c>
      <c r="V22" s="6">
        <f>1/U23</f>
        <v>0.2</v>
      </c>
      <c r="W22" s="9">
        <v>1</v>
      </c>
      <c r="Y22" s="10" t="str">
        <f t="shared" si="1"/>
        <v xml:space="preserve">Практическая полезность </v>
      </c>
      <c r="Z22" s="6">
        <v>5</v>
      </c>
      <c r="AA22" s="6">
        <v>5</v>
      </c>
      <c r="AB22" s="6">
        <v>1</v>
      </c>
      <c r="AC22" s="6">
        <f>1/AB23</f>
        <v>0.33333333333333331</v>
      </c>
      <c r="AE22" s="10" t="str">
        <f t="shared" si="2"/>
        <v xml:space="preserve">Практическая полезность </v>
      </c>
      <c r="AF22" s="6">
        <f t="shared" si="3"/>
        <v>6.7082039324993694</v>
      </c>
      <c r="AG22" s="6">
        <f t="shared" si="0"/>
        <v>3.872983346207417</v>
      </c>
      <c r="AH22" s="6">
        <f t="shared" si="0"/>
        <v>1</v>
      </c>
      <c r="AI22" s="6">
        <f t="shared" si="0"/>
        <v>1.000000000005</v>
      </c>
    </row>
    <row r="23" spans="1:35" x14ac:dyDescent="0.2">
      <c r="A23" s="5" t="str">
        <f t="shared" ref="A22:A24" si="7">B14</f>
        <v>Habit Tracker</v>
      </c>
      <c r="B23" s="6">
        <v>5</v>
      </c>
      <c r="C23" s="6">
        <v>3</v>
      </c>
      <c r="D23" s="6">
        <v>1</v>
      </c>
      <c r="E23" s="6">
        <v>1</v>
      </c>
      <c r="F23" s="7"/>
      <c r="G23" s="5" t="str">
        <f t="shared" si="4"/>
        <v>Habit Tracker</v>
      </c>
      <c r="H23" s="6">
        <f>1/J21</f>
        <v>0.2</v>
      </c>
      <c r="I23" s="6">
        <f>1/J22</f>
        <v>0.2</v>
      </c>
      <c r="J23" s="6">
        <v>1</v>
      </c>
      <c r="K23" s="6">
        <f>1/J24</f>
        <v>0.2</v>
      </c>
      <c r="M23" s="5" t="str">
        <f t="shared" si="5"/>
        <v>Habit Tracker</v>
      </c>
      <c r="N23" s="6">
        <v>1</v>
      </c>
      <c r="O23" s="6">
        <f>1/P22</f>
        <v>0.2</v>
      </c>
      <c r="P23" s="6">
        <v>1</v>
      </c>
      <c r="Q23" s="6">
        <v>5</v>
      </c>
      <c r="S23" s="5" t="str">
        <f t="shared" si="6"/>
        <v>Habit Tracker</v>
      </c>
      <c r="T23" s="6">
        <v>1</v>
      </c>
      <c r="U23" s="6">
        <v>5</v>
      </c>
      <c r="V23" s="6">
        <v>1</v>
      </c>
      <c r="W23" s="9">
        <v>3</v>
      </c>
      <c r="Y23" s="10" t="str">
        <f t="shared" si="1"/>
        <v xml:space="preserve">Охват тем предмета </v>
      </c>
      <c r="Z23" s="6">
        <v>7</v>
      </c>
      <c r="AA23" s="6">
        <v>7</v>
      </c>
      <c r="AB23" s="6">
        <v>3</v>
      </c>
      <c r="AC23" s="6">
        <v>1</v>
      </c>
      <c r="AE23" s="10" t="str">
        <f t="shared" si="2"/>
        <v xml:space="preserve">Охват тем предмета </v>
      </c>
      <c r="AF23" s="6">
        <f t="shared" si="3"/>
        <v>4.5825756949558398</v>
      </c>
      <c r="AG23" s="6">
        <f t="shared" si="0"/>
        <v>2.6457513110645907</v>
      </c>
      <c r="AH23" s="6">
        <f t="shared" si="0"/>
        <v>0.999999999995</v>
      </c>
      <c r="AI23" s="6">
        <f t="shared" si="0"/>
        <v>1</v>
      </c>
    </row>
    <row r="24" spans="1:35" x14ac:dyDescent="0.2">
      <c r="A24" s="5" t="str">
        <f t="shared" si="7"/>
        <v>Recipe Manager</v>
      </c>
      <c r="B24" s="6">
        <v>9</v>
      </c>
      <c r="C24" s="6">
        <f>1/E22</f>
        <v>0.2</v>
      </c>
      <c r="D24" s="6">
        <v>5</v>
      </c>
      <c r="E24" s="6">
        <v>1</v>
      </c>
      <c r="F24" s="7"/>
      <c r="G24" s="5" t="str">
        <f t="shared" si="4"/>
        <v>Recipe Manager</v>
      </c>
      <c r="H24" s="6">
        <f>1/K21</f>
        <v>0.33333333333333331</v>
      </c>
      <c r="I24" s="6">
        <f>1/K22</f>
        <v>0.14285714285714285</v>
      </c>
      <c r="J24" s="6">
        <v>5</v>
      </c>
      <c r="K24" s="6">
        <v>1</v>
      </c>
      <c r="M24" s="5" t="str">
        <f t="shared" si="5"/>
        <v>Recipe Manager</v>
      </c>
      <c r="N24" s="6">
        <f>1/Q21</f>
        <v>0.33333333333333331</v>
      </c>
      <c r="O24" s="6">
        <f>1/Q22</f>
        <v>0.2</v>
      </c>
      <c r="P24" s="6">
        <f>1/Q23</f>
        <v>0.2</v>
      </c>
      <c r="Q24" s="6">
        <v>1</v>
      </c>
      <c r="S24" s="5" t="str">
        <f t="shared" si="6"/>
        <v>Recipe Manager</v>
      </c>
      <c r="T24" s="6">
        <f>1/W21</f>
        <v>0.33333333333333331</v>
      </c>
      <c r="U24" s="6">
        <v>5</v>
      </c>
      <c r="V24" s="6">
        <f>1/W23</f>
        <v>0.33333333333333331</v>
      </c>
      <c r="W24" s="9">
        <v>1</v>
      </c>
      <c r="AF24" s="6">
        <f>SUM(AF20:AF23)</f>
        <v>18.109423299910837</v>
      </c>
      <c r="AG24" s="6">
        <f t="shared" ref="AG24:AI24" si="8">SUM(AG20:AG23)</f>
        <v>7.7369525475080003</v>
      </c>
      <c r="AH24" s="6">
        <f t="shared" si="8"/>
        <v>2.4072700882292373</v>
      </c>
      <c r="AI24" s="6">
        <f t="shared" si="8"/>
        <v>2.5961823632502194</v>
      </c>
    </row>
    <row r="25" spans="1:35" x14ac:dyDescent="0.2">
      <c r="AF25" s="10" t="str">
        <f>G3</f>
        <v>Сложность реализации</v>
      </c>
      <c r="AG25" s="10" t="str">
        <f>G4</f>
        <v xml:space="preserve">Потенциал для демонстрации </v>
      </c>
      <c r="AH25" s="10" t="str">
        <f>G5</f>
        <v xml:space="preserve">Практическая полезность </v>
      </c>
      <c r="AI25" s="10" t="str">
        <f>G6</f>
        <v xml:space="preserve">Охват тем предмета </v>
      </c>
    </row>
    <row r="26" spans="1:35" x14ac:dyDescent="0.2">
      <c r="A26" s="16" t="s">
        <v>26</v>
      </c>
      <c r="B26" s="17"/>
      <c r="C26" s="17"/>
      <c r="D26" s="17"/>
      <c r="E26" s="17"/>
      <c r="G26" s="16" t="s">
        <v>26</v>
      </c>
      <c r="H26" s="17"/>
      <c r="I26" s="17"/>
      <c r="J26" s="17"/>
      <c r="K26" s="17"/>
      <c r="M26" s="16" t="s">
        <v>26</v>
      </c>
      <c r="N26" s="17"/>
      <c r="O26" s="17"/>
      <c r="P26" s="17"/>
      <c r="Q26" s="17"/>
      <c r="S26" s="16" t="s">
        <v>26</v>
      </c>
      <c r="T26" s="17"/>
      <c r="U26" s="17"/>
      <c r="V26" s="17"/>
      <c r="W26" s="17"/>
      <c r="Y26" s="16" t="s">
        <v>26</v>
      </c>
      <c r="Z26" s="17"/>
      <c r="AA26" s="17"/>
      <c r="AB26" s="17"/>
      <c r="AC26" s="17"/>
      <c r="AE26" s="10" t="str">
        <f>G3</f>
        <v>Сложность реализации</v>
      </c>
      <c r="AF26" s="6">
        <f t="shared" ref="AF26:AI26" si="9">AF20/AF24</f>
        <v>0.12347538297979921</v>
      </c>
      <c r="AG26" s="6">
        <f t="shared" si="9"/>
        <v>2.8204630815045945E-2</v>
      </c>
      <c r="AH26" s="6">
        <f t="shared" si="9"/>
        <v>6.1925414696462747E-2</v>
      </c>
      <c r="AI26" s="6">
        <f t="shared" si="9"/>
        <v>8.4053375188482701E-2</v>
      </c>
    </row>
    <row r="27" spans="1:35" x14ac:dyDescent="0.2">
      <c r="A27" s="4"/>
      <c r="B27" s="5" t="str">
        <f>$B$12</f>
        <v>Language  Bot</v>
      </c>
      <c r="C27" s="5" t="str">
        <f>$B$13</f>
        <v>FitLife</v>
      </c>
      <c r="D27" s="5" t="str">
        <f>$B$14</f>
        <v>Habit Tracker</v>
      </c>
      <c r="E27" s="5" t="str">
        <f>$B$15</f>
        <v>Recipe Manager</v>
      </c>
      <c r="G27" s="4"/>
      <c r="H27" s="5" t="str">
        <f>$B$12</f>
        <v>Language  Bot</v>
      </c>
      <c r="I27" s="5" t="str">
        <f>$B$13</f>
        <v>FitLife</v>
      </c>
      <c r="J27" s="5" t="str">
        <f>$B$14</f>
        <v>Habit Tracker</v>
      </c>
      <c r="K27" s="5" t="str">
        <f>$B$15</f>
        <v>Recipe Manager</v>
      </c>
      <c r="M27" s="4"/>
      <c r="N27" s="5" t="str">
        <f>$B$12</f>
        <v>Language  Bot</v>
      </c>
      <c r="O27" s="5" t="str">
        <f>$B$13</f>
        <v>FitLife</v>
      </c>
      <c r="P27" s="5" t="str">
        <f>$B$14</f>
        <v>Habit Tracker</v>
      </c>
      <c r="Q27" s="5" t="str">
        <f>$B$15</f>
        <v>Recipe Manager</v>
      </c>
      <c r="S27" s="4"/>
      <c r="T27" s="5" t="str">
        <f>$B$12</f>
        <v>Language  Bot</v>
      </c>
      <c r="U27" s="5" t="str">
        <f>$B$13</f>
        <v>FitLife</v>
      </c>
      <c r="V27" s="5" t="str">
        <f>$B$14</f>
        <v>Habit Tracker</v>
      </c>
      <c r="W27" s="5" t="str">
        <f>$B$15</f>
        <v>Recipe Manager</v>
      </c>
      <c r="Z27" s="10" t="str">
        <f>G3</f>
        <v>Сложность реализации</v>
      </c>
      <c r="AA27" s="10" t="str">
        <f>G4</f>
        <v xml:space="preserve">Потенциал для демонстрации </v>
      </c>
      <c r="AB27" s="10" t="str">
        <f>G5</f>
        <v xml:space="preserve">Практическая полезность </v>
      </c>
      <c r="AC27" s="10" t="str">
        <f>G6</f>
        <v xml:space="preserve">Охват тем предмета </v>
      </c>
      <c r="AE27" s="10" t="str">
        <f t="shared" ref="AE27:AE29" si="10">G4</f>
        <v xml:space="preserve">Потенциал для демонстрации </v>
      </c>
      <c r="AF27" s="6">
        <f t="shared" ref="AF27:AI27" si="11">AF21/AF24</f>
        <v>0.25304923404040164</v>
      </c>
      <c r="AG27" s="6">
        <f t="shared" si="11"/>
        <v>0.12924985565823208</v>
      </c>
      <c r="AH27" s="6">
        <f t="shared" si="11"/>
        <v>0.10725796452868303</v>
      </c>
      <c r="AI27" s="6">
        <f t="shared" si="11"/>
        <v>0.14558471637410128</v>
      </c>
    </row>
    <row r="28" spans="1:35" x14ac:dyDescent="0.2">
      <c r="A28" s="5" t="str">
        <f>B12</f>
        <v>Language  Bot</v>
      </c>
      <c r="B28" s="6">
        <v>1</v>
      </c>
      <c r="C28" s="6">
        <f>1/B29</f>
        <v>0.2</v>
      </c>
      <c r="D28" s="6">
        <v>3</v>
      </c>
      <c r="E28" s="6">
        <v>1</v>
      </c>
      <c r="G28" s="5" t="str">
        <f>B12</f>
        <v>Language  Bot</v>
      </c>
      <c r="H28" s="6">
        <v>1</v>
      </c>
      <c r="I28" s="6">
        <f>1/H29</f>
        <v>0.33333333333333331</v>
      </c>
      <c r="J28" s="6">
        <v>3</v>
      </c>
      <c r="K28" s="6">
        <v>5</v>
      </c>
      <c r="M28" s="5" t="str">
        <f>B12</f>
        <v>Language  Bot</v>
      </c>
      <c r="N28" s="6">
        <v>1</v>
      </c>
      <c r="O28" s="6">
        <f>1/N29</f>
        <v>0.33333333333333331</v>
      </c>
      <c r="P28" s="6">
        <v>0.2</v>
      </c>
      <c r="Q28" s="6">
        <v>3</v>
      </c>
      <c r="S28" s="5" t="str">
        <f>B12</f>
        <v>Language  Bot</v>
      </c>
      <c r="T28" s="6">
        <v>1</v>
      </c>
      <c r="U28" s="6">
        <v>5</v>
      </c>
      <c r="V28" s="6">
        <v>1</v>
      </c>
      <c r="W28" s="9">
        <v>1</v>
      </c>
      <c r="Y28" s="10" t="str">
        <f>G3</f>
        <v>Сложность реализации</v>
      </c>
      <c r="Z28" s="6">
        <v>1</v>
      </c>
      <c r="AA28" s="6">
        <f>1/Z29</f>
        <v>0.14285714285714285</v>
      </c>
      <c r="AB28" s="6">
        <f>1/Z30</f>
        <v>0.1111111111111111</v>
      </c>
      <c r="AC28" s="6">
        <f>1/Z31</f>
        <v>0.33333333333333331</v>
      </c>
      <c r="AE28" s="10" t="str">
        <f t="shared" si="10"/>
        <v xml:space="preserve">Практическая полезность </v>
      </c>
      <c r="AF28" s="6">
        <f t="shared" ref="AF28:AI28" si="12">AF22/AF24</f>
        <v>0.37042614893939763</v>
      </c>
      <c r="AG28" s="6">
        <f t="shared" si="12"/>
        <v>0.50058253846404532</v>
      </c>
      <c r="AH28" s="6">
        <f t="shared" si="12"/>
        <v>0.4154083103884656</v>
      </c>
      <c r="AI28" s="6">
        <f t="shared" si="12"/>
        <v>0.38518095421967097</v>
      </c>
    </row>
    <row r="29" spans="1:35" x14ac:dyDescent="0.2">
      <c r="A29" s="5" t="str">
        <f t="shared" ref="A29:A31" si="13">B13</f>
        <v>FitLife</v>
      </c>
      <c r="B29" s="6">
        <v>5</v>
      </c>
      <c r="C29" s="6">
        <v>1</v>
      </c>
      <c r="D29" s="6">
        <v>9</v>
      </c>
      <c r="E29" s="6">
        <v>7</v>
      </c>
      <c r="G29" s="5" t="str">
        <f t="shared" ref="G29:G31" si="14">B13</f>
        <v>FitLife</v>
      </c>
      <c r="H29" s="6">
        <v>3</v>
      </c>
      <c r="I29" s="6">
        <v>1</v>
      </c>
      <c r="J29" s="6">
        <v>7</v>
      </c>
      <c r="K29" s="6">
        <v>9</v>
      </c>
      <c r="M29" s="5" t="str">
        <f t="shared" ref="M29:M31" si="15">B13</f>
        <v>FitLife</v>
      </c>
      <c r="N29" s="8">
        <v>3</v>
      </c>
      <c r="O29" s="6">
        <v>1</v>
      </c>
      <c r="P29" s="6">
        <v>7</v>
      </c>
      <c r="Q29" s="6">
        <v>3</v>
      </c>
      <c r="S29" s="5" t="str">
        <f t="shared" ref="S29:S31" si="16">B13</f>
        <v>FitLife</v>
      </c>
      <c r="T29" s="6">
        <f>1/U28</f>
        <v>0.2</v>
      </c>
      <c r="U29" s="6">
        <v>1</v>
      </c>
      <c r="V29" s="6">
        <f>1/U30</f>
        <v>0.33333333333333331</v>
      </c>
      <c r="W29" s="9">
        <v>1</v>
      </c>
      <c r="Y29" s="10" t="str">
        <f t="shared" ref="Y29:Y31" si="17">G4</f>
        <v xml:space="preserve">Потенциал для демонстрации </v>
      </c>
      <c r="Z29" s="6">
        <v>7</v>
      </c>
      <c r="AA29" s="6">
        <v>1</v>
      </c>
      <c r="AB29" s="6">
        <v>0.33333333329999998</v>
      </c>
      <c r="AC29" s="6">
        <v>1</v>
      </c>
      <c r="AE29" s="10" t="str">
        <f t="shared" si="10"/>
        <v xml:space="preserve">Охват тем предмета </v>
      </c>
      <c r="AF29" s="6">
        <f t="shared" ref="AF29:AI29" si="18">AF23/AF24</f>
        <v>0.25304923404040164</v>
      </c>
      <c r="AG29" s="6">
        <f t="shared" si="18"/>
        <v>0.34196297506267664</v>
      </c>
      <c r="AH29" s="6">
        <f t="shared" si="18"/>
        <v>0.41540831038638859</v>
      </c>
      <c r="AI29" s="6">
        <f t="shared" si="18"/>
        <v>0.38518095421774506</v>
      </c>
    </row>
    <row r="30" spans="1:35" x14ac:dyDescent="0.2">
      <c r="A30" s="5" t="str">
        <f t="shared" si="13"/>
        <v>Habit Tracker</v>
      </c>
      <c r="B30" s="6">
        <v>0.33333333329999998</v>
      </c>
      <c r="C30" s="6">
        <f>1/D29</f>
        <v>0.1111111111111111</v>
      </c>
      <c r="D30" s="6">
        <v>1</v>
      </c>
      <c r="E30" s="6">
        <v>0.2</v>
      </c>
      <c r="G30" s="5" t="str">
        <f t="shared" si="14"/>
        <v>Habit Tracker</v>
      </c>
      <c r="H30" s="6">
        <f>1/J28</f>
        <v>0.33333333333333331</v>
      </c>
      <c r="I30" s="6">
        <f>1/J29</f>
        <v>0.14285714285714285</v>
      </c>
      <c r="J30" s="6">
        <v>1</v>
      </c>
      <c r="K30" s="6">
        <v>0.2</v>
      </c>
      <c r="M30" s="5" t="str">
        <f t="shared" si="15"/>
        <v>Habit Tracker</v>
      </c>
      <c r="N30" s="6">
        <v>3</v>
      </c>
      <c r="O30" s="6">
        <f>1/P29</f>
        <v>0.14285714285714285</v>
      </c>
      <c r="P30" s="6">
        <v>1</v>
      </c>
      <c r="Q30" s="6">
        <v>7</v>
      </c>
      <c r="S30" s="5" t="str">
        <f t="shared" si="16"/>
        <v>Habit Tracker</v>
      </c>
      <c r="T30" s="6">
        <v>1</v>
      </c>
      <c r="U30" s="6">
        <v>3</v>
      </c>
      <c r="V30" s="6">
        <v>1</v>
      </c>
      <c r="W30" s="9">
        <v>3</v>
      </c>
      <c r="Y30" s="10" t="str">
        <f t="shared" si="17"/>
        <v xml:space="preserve">Практическая полезность </v>
      </c>
      <c r="Z30" s="6">
        <v>9</v>
      </c>
      <c r="AA30" s="6">
        <v>3</v>
      </c>
      <c r="AB30" s="6">
        <v>1</v>
      </c>
      <c r="AC30" s="6">
        <f>1/AB31</f>
        <v>3.00000000003</v>
      </c>
    </row>
    <row r="31" spans="1:35" x14ac:dyDescent="0.2">
      <c r="A31" s="5" t="str">
        <f t="shared" si="13"/>
        <v>Recipe Manager</v>
      </c>
      <c r="B31" s="6">
        <v>9</v>
      </c>
      <c r="C31" s="6">
        <f>1/E29</f>
        <v>0.14285714285714285</v>
      </c>
      <c r="D31" s="6">
        <f>1/E30</f>
        <v>5</v>
      </c>
      <c r="E31" s="6">
        <v>1</v>
      </c>
      <c r="G31" s="5" t="str">
        <f t="shared" si="14"/>
        <v>Recipe Manager</v>
      </c>
      <c r="H31" s="6">
        <v>9</v>
      </c>
      <c r="I31" s="6">
        <f>1/K29</f>
        <v>0.1111111111111111</v>
      </c>
      <c r="J31" s="6">
        <v>9</v>
      </c>
      <c r="K31" s="6">
        <v>1</v>
      </c>
      <c r="M31" s="5" t="str">
        <f t="shared" si="15"/>
        <v>Recipe Manager</v>
      </c>
      <c r="N31" s="6">
        <f>1/Q28</f>
        <v>0.33333333333333331</v>
      </c>
      <c r="O31" s="6">
        <f>1/Q29</f>
        <v>0.33333333333333331</v>
      </c>
      <c r="P31" s="6">
        <f>1/Q30</f>
        <v>0.14285714285714285</v>
      </c>
      <c r="Q31" s="6">
        <v>1</v>
      </c>
      <c r="S31" s="5" t="str">
        <f t="shared" si="16"/>
        <v>Recipe Manager</v>
      </c>
      <c r="T31" s="6">
        <f>1/W28</f>
        <v>1</v>
      </c>
      <c r="U31" s="6">
        <v>5</v>
      </c>
      <c r="V31" s="6">
        <f>1/W30</f>
        <v>0.33333333333333331</v>
      </c>
      <c r="W31" s="9">
        <v>1</v>
      </c>
      <c r="Y31" s="10" t="str">
        <f t="shared" si="17"/>
        <v xml:space="preserve">Охват тем предмета </v>
      </c>
      <c r="Z31" s="11">
        <v>3</v>
      </c>
      <c r="AA31" s="11">
        <v>1</v>
      </c>
      <c r="AB31" s="11">
        <v>0.33333333332999998</v>
      </c>
      <c r="AC31" s="11">
        <v>1</v>
      </c>
      <c r="AF31" s="12" t="s">
        <v>27</v>
      </c>
      <c r="AG31" s="7"/>
      <c r="AH31" s="7"/>
      <c r="AI31" s="7"/>
    </row>
    <row r="32" spans="1:35" x14ac:dyDescent="0.2">
      <c r="Y32" s="7"/>
      <c r="Z32" s="7"/>
      <c r="AA32" s="7"/>
      <c r="AB32" s="7"/>
      <c r="AC32" s="7"/>
      <c r="AE32" s="10" t="str">
        <f>G3</f>
        <v>Сложность реализации</v>
      </c>
      <c r="AF32" s="6">
        <f t="shared" ref="AF32:AF35" si="19">AVERAGE(AF26:AI26)</f>
        <v>7.441470091994766E-2</v>
      </c>
      <c r="AG32" s="7"/>
      <c r="AH32" s="7"/>
      <c r="AI32" s="7"/>
    </row>
    <row r="33" spans="1:35" x14ac:dyDescent="0.2">
      <c r="Y33" s="7"/>
      <c r="Z33" s="7"/>
      <c r="AA33" s="7"/>
      <c r="AB33" s="7"/>
      <c r="AC33" s="7"/>
      <c r="AE33" s="10" t="str">
        <f t="shared" ref="AE33:AE35" si="20">G4</f>
        <v xml:space="preserve">Потенциал для демонстрации </v>
      </c>
      <c r="AF33" s="6">
        <f t="shared" si="19"/>
        <v>0.15878544265035449</v>
      </c>
      <c r="AG33" s="7"/>
      <c r="AI33" s="7"/>
    </row>
    <row r="34" spans="1:35" x14ac:dyDescent="0.2">
      <c r="Y34" s="7"/>
      <c r="Z34" s="7"/>
      <c r="AA34" s="7"/>
      <c r="AB34" s="7"/>
      <c r="AC34" s="7"/>
      <c r="AE34" s="10" t="str">
        <f t="shared" si="20"/>
        <v xml:space="preserve">Практическая полезность </v>
      </c>
      <c r="AF34" s="6">
        <f t="shared" si="19"/>
        <v>0.41789948800289489</v>
      </c>
      <c r="AG34" s="7"/>
      <c r="AH34" s="7"/>
      <c r="AI34" s="7"/>
    </row>
    <row r="35" spans="1:35" x14ac:dyDescent="0.2">
      <c r="Y35" s="7"/>
      <c r="Z35" s="7"/>
      <c r="AA35" s="7"/>
      <c r="AB35" s="7"/>
      <c r="AC35" s="7"/>
      <c r="AE35" s="10" t="str">
        <f t="shared" si="20"/>
        <v xml:space="preserve">Охват тем предмета </v>
      </c>
      <c r="AF35" s="6">
        <f t="shared" si="19"/>
        <v>0.348900368426803</v>
      </c>
      <c r="AG35" s="7"/>
      <c r="AH35" s="7"/>
      <c r="AI35" s="7"/>
    </row>
    <row r="36" spans="1:35" x14ac:dyDescent="0.2">
      <c r="A36" s="19"/>
      <c r="B36" s="17"/>
      <c r="C36" s="17"/>
      <c r="D36" s="17"/>
      <c r="E36" s="17"/>
      <c r="H36" s="7"/>
      <c r="I36" s="7"/>
      <c r="J36" s="7"/>
      <c r="K36" s="7"/>
    </row>
    <row r="37" spans="1:35" x14ac:dyDescent="0.2">
      <c r="B37" s="7"/>
      <c r="C37" s="7"/>
      <c r="D37" s="7"/>
      <c r="E37" s="7"/>
      <c r="G37" s="7"/>
      <c r="H37" s="7"/>
      <c r="I37" s="7"/>
      <c r="J37" s="7"/>
      <c r="K37" s="7"/>
    </row>
    <row r="38" spans="1:35" x14ac:dyDescent="0.2">
      <c r="A38" s="7"/>
      <c r="B38" s="7"/>
      <c r="C38" s="7"/>
      <c r="D38" s="7"/>
      <c r="E38" s="7"/>
      <c r="G38" s="7"/>
      <c r="H38" s="7"/>
      <c r="I38" s="7"/>
      <c r="J38" s="7"/>
      <c r="K38" s="7"/>
    </row>
    <row r="39" spans="1:35" x14ac:dyDescent="0.2">
      <c r="A39" s="7"/>
      <c r="B39" s="7"/>
      <c r="C39" s="7"/>
      <c r="D39" s="7"/>
      <c r="E39" s="7"/>
      <c r="G39" s="7"/>
      <c r="H39" s="7"/>
      <c r="I39" s="7"/>
      <c r="J39" s="7"/>
      <c r="K39" s="7"/>
    </row>
    <row r="40" spans="1:35" x14ac:dyDescent="0.2">
      <c r="A40" s="7"/>
      <c r="B40" s="7"/>
      <c r="C40" s="7"/>
      <c r="D40" s="7"/>
      <c r="E40" s="7"/>
      <c r="G40" s="7"/>
      <c r="H40" s="7"/>
      <c r="I40" s="7"/>
      <c r="J40" s="7"/>
      <c r="K40" s="7"/>
    </row>
    <row r="41" spans="1:35" x14ac:dyDescent="0.2">
      <c r="A41" s="7"/>
      <c r="B41" s="7"/>
      <c r="C41" s="7"/>
      <c r="D41" s="7"/>
      <c r="E41" s="7"/>
      <c r="H41" s="7"/>
      <c r="I41" s="7"/>
      <c r="J41" s="7"/>
      <c r="K41" s="7"/>
    </row>
    <row r="42" spans="1:35" x14ac:dyDescent="0.2">
      <c r="H42" s="7"/>
      <c r="I42" s="7"/>
      <c r="J42" s="7"/>
      <c r="K42" s="7"/>
    </row>
    <row r="43" spans="1:35" x14ac:dyDescent="0.2">
      <c r="G43" s="7"/>
      <c r="H43" s="7"/>
      <c r="I43" s="7"/>
      <c r="J43" s="7"/>
      <c r="K43" s="7"/>
    </row>
    <row r="44" spans="1:35" x14ac:dyDescent="0.2">
      <c r="A44" s="19"/>
      <c r="B44" s="17"/>
      <c r="C44" s="17"/>
      <c r="D44" s="17"/>
      <c r="E44" s="17"/>
      <c r="G44" s="7"/>
      <c r="H44" s="7"/>
      <c r="I44" s="7"/>
      <c r="J44" s="7"/>
      <c r="K44" s="7"/>
    </row>
    <row r="45" spans="1:35" x14ac:dyDescent="0.2">
      <c r="B45" s="7"/>
      <c r="C45" s="7"/>
      <c r="D45" s="7"/>
      <c r="E45" s="7"/>
      <c r="G45" s="7"/>
      <c r="H45" s="7"/>
      <c r="I45" s="7"/>
      <c r="J45" s="7"/>
      <c r="K45" s="7"/>
    </row>
    <row r="46" spans="1:35" x14ac:dyDescent="0.2">
      <c r="A46" s="7"/>
      <c r="B46" s="7"/>
      <c r="C46" s="7"/>
      <c r="D46" s="7"/>
      <c r="E46" s="7"/>
      <c r="G46" s="7"/>
      <c r="H46" s="7"/>
      <c r="I46" s="7"/>
      <c r="J46" s="7"/>
      <c r="K46" s="7"/>
    </row>
    <row r="47" spans="1:35" x14ac:dyDescent="0.2">
      <c r="A47" s="7"/>
      <c r="B47" s="7"/>
      <c r="C47" s="7"/>
      <c r="D47" s="7"/>
      <c r="E47" s="7"/>
    </row>
    <row r="48" spans="1:35" x14ac:dyDescent="0.2">
      <c r="A48" s="7"/>
      <c r="B48" s="7"/>
      <c r="C48" s="7"/>
      <c r="D48" s="7"/>
      <c r="E48" s="7"/>
      <c r="H48" s="7"/>
      <c r="I48" s="7"/>
      <c r="J48" s="7"/>
      <c r="K48" s="7"/>
    </row>
    <row r="49" spans="1:23" x14ac:dyDescent="0.2">
      <c r="A49" s="7"/>
      <c r="B49" s="7"/>
      <c r="C49" s="7"/>
      <c r="D49" s="7"/>
      <c r="E49" s="7"/>
      <c r="G49" s="7"/>
      <c r="H49" s="7"/>
      <c r="I49" s="7"/>
      <c r="J49" s="7"/>
      <c r="K49" s="7"/>
    </row>
    <row r="50" spans="1:23" x14ac:dyDescent="0.2">
      <c r="A50" s="7"/>
      <c r="B50" s="7"/>
      <c r="C50" s="7"/>
      <c r="D50" s="7"/>
      <c r="E50" s="7"/>
      <c r="G50" s="7"/>
      <c r="H50" s="7"/>
      <c r="I50" s="7"/>
      <c r="K50" s="7"/>
    </row>
    <row r="51" spans="1:23" x14ac:dyDescent="0.2">
      <c r="A51" s="7"/>
      <c r="B51" s="7"/>
      <c r="C51" s="7"/>
      <c r="D51" s="7"/>
      <c r="E51" s="7"/>
      <c r="G51" s="7"/>
      <c r="H51" s="7"/>
      <c r="I51" s="7"/>
      <c r="J51" s="7"/>
      <c r="K51" s="7"/>
    </row>
    <row r="52" spans="1:23" x14ac:dyDescent="0.2">
      <c r="A52" s="7"/>
      <c r="B52" s="7"/>
      <c r="C52" s="7"/>
      <c r="D52" s="7"/>
      <c r="E52" s="7"/>
      <c r="G52" s="7"/>
      <c r="H52" s="7"/>
      <c r="I52" s="7"/>
      <c r="J52" s="7"/>
      <c r="K52" s="7"/>
    </row>
    <row r="57" spans="1:23" x14ac:dyDescent="0.2">
      <c r="A57" s="13" t="s">
        <v>28</v>
      </c>
    </row>
    <row r="58" spans="1:23" x14ac:dyDescent="0.2">
      <c r="B58" s="5" t="str">
        <f>$B$12</f>
        <v>Language  Bot</v>
      </c>
      <c r="C58" s="5" t="str">
        <f>$B$13</f>
        <v>FitLife</v>
      </c>
      <c r="D58" s="5" t="str">
        <f>$B$14</f>
        <v>Habit Tracker</v>
      </c>
      <c r="E58" s="5" t="str">
        <f>$B$15</f>
        <v>Recipe Manager</v>
      </c>
      <c r="H58" s="5" t="str">
        <f>$B$12</f>
        <v>Language  Bot</v>
      </c>
      <c r="I58" s="5" t="str">
        <f>$B$13</f>
        <v>FitLife</v>
      </c>
      <c r="J58" s="5" t="str">
        <f>$B$14</f>
        <v>Habit Tracker</v>
      </c>
      <c r="K58" s="5" t="str">
        <f>$B$15</f>
        <v>Recipe Manager</v>
      </c>
      <c r="N58" s="14" t="s">
        <v>17</v>
      </c>
      <c r="O58" s="15" t="s">
        <v>20</v>
      </c>
      <c r="P58" s="15" t="s">
        <v>19</v>
      </c>
      <c r="Q58" s="15" t="s">
        <v>18</v>
      </c>
      <c r="T58" s="14" t="s">
        <v>17</v>
      </c>
      <c r="U58" s="15" t="s">
        <v>20</v>
      </c>
      <c r="V58" s="15" t="s">
        <v>19</v>
      </c>
      <c r="W58" s="15" t="s">
        <v>18</v>
      </c>
    </row>
    <row r="59" spans="1:23" x14ac:dyDescent="0.2">
      <c r="A59" s="5" t="str">
        <f>B12</f>
        <v>Language  Bot</v>
      </c>
      <c r="B59" s="6">
        <f>POWER(B21*B28,1/2)</f>
        <v>1</v>
      </c>
      <c r="C59" s="6">
        <f t="shared" ref="C59:E60" si="21">POWER(C21*C28,1/2)</f>
        <v>0.2581988897471611</v>
      </c>
      <c r="D59" s="6">
        <f t="shared" si="21"/>
        <v>0.7745966692414834</v>
      </c>
      <c r="E59" s="6">
        <f t="shared" si="21"/>
        <v>0.33333333333333331</v>
      </c>
      <c r="G59" s="5" t="str">
        <f>A59</f>
        <v>Language  Bot</v>
      </c>
      <c r="H59" s="6">
        <f>POWER(H21*H28,1/2)</f>
        <v>1</v>
      </c>
      <c r="I59" s="6">
        <f t="shared" ref="I59:K59" si="22">POWER(I21*I28,1/2)</f>
        <v>0.21821789023599236</v>
      </c>
      <c r="J59" s="6">
        <f t="shared" si="22"/>
        <v>3.872983346207417</v>
      </c>
      <c r="K59" s="6">
        <f t="shared" si="22"/>
        <v>3.872983346207417</v>
      </c>
      <c r="M59" s="5" t="str">
        <f>A59</f>
        <v>Language  Bot</v>
      </c>
      <c r="N59" s="6">
        <f>POWER(N21*N28,1/2)</f>
        <v>1</v>
      </c>
      <c r="O59" s="6">
        <f t="shared" ref="O59:Q59" si="23">POWER(O21*O28,1/2)</f>
        <v>0.2581988897471611</v>
      </c>
      <c r="P59" s="6">
        <f t="shared" si="23"/>
        <v>0.44721359549995793</v>
      </c>
      <c r="Q59" s="6">
        <f t="shared" si="23"/>
        <v>3</v>
      </c>
      <c r="S59" s="5" t="str">
        <f>A59</f>
        <v>Language  Bot</v>
      </c>
      <c r="T59" s="6">
        <f>POWER(T21*T28,1/2)</f>
        <v>1</v>
      </c>
      <c r="U59" s="6">
        <f t="shared" ref="U59:W59" si="24">POWER(U21*U28,1/2)</f>
        <v>3.872983346207417</v>
      </c>
      <c r="V59" s="6">
        <f t="shared" si="24"/>
        <v>1</v>
      </c>
      <c r="W59" s="6">
        <f t="shared" si="24"/>
        <v>1.7320508075688772</v>
      </c>
    </row>
    <row r="60" spans="1:23" x14ac:dyDescent="0.2">
      <c r="A60" s="5" t="str">
        <f t="shared" ref="A60:A62" si="25">B13</f>
        <v>FitLife</v>
      </c>
      <c r="B60" s="6">
        <f>POWER(B22*B29,1/2)</f>
        <v>3.872983346207417</v>
      </c>
      <c r="C60" s="6">
        <f t="shared" si="21"/>
        <v>1</v>
      </c>
      <c r="D60" s="6">
        <f t="shared" si="21"/>
        <v>3</v>
      </c>
      <c r="E60" s="6">
        <f t="shared" si="21"/>
        <v>5.9160797830996161</v>
      </c>
      <c r="G60" s="5" t="str">
        <f t="shared" ref="G60:G62" si="26">A60</f>
        <v>FitLife</v>
      </c>
      <c r="H60" s="6">
        <f t="shared" ref="H60:K62" si="27">POWER(H22*H29,1/2)</f>
        <v>4.5825756949558398</v>
      </c>
      <c r="I60" s="6">
        <f t="shared" si="27"/>
        <v>1</v>
      </c>
      <c r="J60" s="6">
        <f t="shared" si="27"/>
        <v>5.9160797830996161</v>
      </c>
      <c r="K60" s="6">
        <f t="shared" si="27"/>
        <v>7.9372539331937721</v>
      </c>
      <c r="M60" s="5" t="str">
        <f t="shared" ref="M60:M62" si="28">A60</f>
        <v>FitLife</v>
      </c>
      <c r="N60" s="6">
        <f t="shared" ref="N60:Q62" si="29">POWER(N22*N29,1/2)</f>
        <v>3.872983346207417</v>
      </c>
      <c r="O60" s="6">
        <f t="shared" si="29"/>
        <v>1</v>
      </c>
      <c r="P60" s="6">
        <f t="shared" si="29"/>
        <v>5.9160797830996161</v>
      </c>
      <c r="Q60" s="6">
        <f t="shared" si="29"/>
        <v>3.872983346207417</v>
      </c>
      <c r="S60" s="5" t="str">
        <f t="shared" ref="S60:S62" si="30">A60</f>
        <v>FitLife</v>
      </c>
      <c r="T60" s="6">
        <f t="shared" ref="T60:W62" si="31">POWER(T22*T29,1/2)</f>
        <v>0.2581988897471611</v>
      </c>
      <c r="U60" s="6">
        <f t="shared" si="31"/>
        <v>1</v>
      </c>
      <c r="V60" s="6">
        <f t="shared" si="31"/>
        <v>0.2581988897471611</v>
      </c>
      <c r="W60" s="6">
        <f t="shared" si="31"/>
        <v>1</v>
      </c>
    </row>
    <row r="61" spans="1:23" x14ac:dyDescent="0.2">
      <c r="A61" s="5" t="str">
        <f t="shared" si="25"/>
        <v>Habit Tracker</v>
      </c>
      <c r="B61" s="6">
        <f t="shared" ref="B61:E62" si="32">POWER(B23*B30,1/2)</f>
        <v>1.2909944486712559</v>
      </c>
      <c r="C61" s="6">
        <f t="shared" si="32"/>
        <v>0.57735026918962573</v>
      </c>
      <c r="D61" s="6">
        <f t="shared" si="32"/>
        <v>1</v>
      </c>
      <c r="E61" s="6">
        <f t="shared" si="32"/>
        <v>0.44721359549995793</v>
      </c>
      <c r="G61" s="5" t="str">
        <f t="shared" si="26"/>
        <v>Habit Tracker</v>
      </c>
      <c r="H61" s="6">
        <f t="shared" si="27"/>
        <v>0.2581988897471611</v>
      </c>
      <c r="I61" s="6">
        <f t="shared" si="27"/>
        <v>0.1690308509457033</v>
      </c>
      <c r="J61" s="6">
        <f t="shared" si="27"/>
        <v>1</v>
      </c>
      <c r="K61" s="6">
        <f t="shared" si="27"/>
        <v>0.2</v>
      </c>
      <c r="M61" s="5" t="str">
        <f t="shared" si="28"/>
        <v>Habit Tracker</v>
      </c>
      <c r="N61" s="6">
        <f t="shared" si="29"/>
        <v>1.7320508075688772</v>
      </c>
      <c r="O61" s="6">
        <f t="shared" si="29"/>
        <v>0.1690308509457033</v>
      </c>
      <c r="P61" s="6">
        <f t="shared" si="29"/>
        <v>1</v>
      </c>
      <c r="Q61" s="6">
        <f t="shared" si="29"/>
        <v>5.9160797830996161</v>
      </c>
      <c r="S61" s="5" t="str">
        <f t="shared" si="30"/>
        <v>Habit Tracker</v>
      </c>
      <c r="T61" s="6">
        <f t="shared" si="31"/>
        <v>1</v>
      </c>
      <c r="U61" s="6">
        <f t="shared" si="31"/>
        <v>3.872983346207417</v>
      </c>
      <c r="V61" s="6">
        <f t="shared" si="31"/>
        <v>1</v>
      </c>
      <c r="W61" s="6">
        <f t="shared" si="31"/>
        <v>3</v>
      </c>
    </row>
    <row r="62" spans="1:23" x14ac:dyDescent="0.2">
      <c r="A62" s="5" t="str">
        <f t="shared" si="25"/>
        <v>Recipe Manager</v>
      </c>
      <c r="B62" s="6">
        <f t="shared" si="32"/>
        <v>9</v>
      </c>
      <c r="C62" s="6">
        <f t="shared" si="32"/>
        <v>0.1690308509457033</v>
      </c>
      <c r="D62" s="6">
        <f t="shared" si="32"/>
        <v>5</v>
      </c>
      <c r="E62" s="6">
        <f t="shared" si="32"/>
        <v>1</v>
      </c>
      <c r="G62" s="5" t="str">
        <f t="shared" si="26"/>
        <v>Recipe Manager</v>
      </c>
      <c r="H62" s="6">
        <f t="shared" si="27"/>
        <v>1.7320508075688772</v>
      </c>
      <c r="I62" s="6">
        <f t="shared" si="27"/>
        <v>0.12598815766974242</v>
      </c>
      <c r="J62" s="6">
        <f t="shared" si="27"/>
        <v>6.7082039324993694</v>
      </c>
      <c r="K62" s="6">
        <f t="shared" si="27"/>
        <v>1</v>
      </c>
      <c r="M62" s="5" t="str">
        <f t="shared" si="28"/>
        <v>Recipe Manager</v>
      </c>
      <c r="N62" s="6">
        <f t="shared" si="29"/>
        <v>0.33333333333333331</v>
      </c>
      <c r="O62" s="6">
        <f t="shared" si="29"/>
        <v>0.2581988897471611</v>
      </c>
      <c r="P62" s="6">
        <f t="shared" si="29"/>
        <v>0.1690308509457033</v>
      </c>
      <c r="Q62" s="6">
        <f t="shared" si="29"/>
        <v>1</v>
      </c>
      <c r="S62" s="5" t="str">
        <f t="shared" si="30"/>
        <v>Recipe Manager</v>
      </c>
      <c r="T62" s="6">
        <f t="shared" si="31"/>
        <v>0.57735026918962573</v>
      </c>
      <c r="U62" s="6">
        <f t="shared" si="31"/>
        <v>5</v>
      </c>
      <c r="V62" s="6">
        <f t="shared" si="31"/>
        <v>0.33333333333333331</v>
      </c>
      <c r="W62" s="6">
        <f t="shared" si="31"/>
        <v>1</v>
      </c>
    </row>
    <row r="63" spans="1:23" x14ac:dyDescent="0.2">
      <c r="B63" s="7">
        <f t="shared" ref="B63:E63" si="33">SUM(B59:B62)</f>
        <v>15.163977794878672</v>
      </c>
      <c r="C63" s="7">
        <f t="shared" si="33"/>
        <v>2.0045800098824902</v>
      </c>
      <c r="D63" s="7">
        <f t="shared" si="33"/>
        <v>9.7745966692414825</v>
      </c>
      <c r="E63" s="7">
        <f t="shared" si="33"/>
        <v>7.6966267119329075</v>
      </c>
      <c r="H63" s="7">
        <f t="shared" ref="H63:K63" si="34">SUM(H59:H62)</f>
        <v>7.5728253922718789</v>
      </c>
      <c r="I63" s="7">
        <f t="shared" si="34"/>
        <v>1.513236898851438</v>
      </c>
      <c r="J63" s="7">
        <f t="shared" si="34"/>
        <v>17.497267061806404</v>
      </c>
      <c r="K63" s="7">
        <f t="shared" si="34"/>
        <v>13.010237279401188</v>
      </c>
      <c r="N63" s="7">
        <f t="shared" ref="N63:Q63" si="35">SUM(N59:N62)</f>
        <v>6.9383674871096277</v>
      </c>
      <c r="O63" s="7">
        <f t="shared" si="35"/>
        <v>1.6854286304400254</v>
      </c>
      <c r="P63" s="7">
        <f t="shared" si="35"/>
        <v>7.5323242295452779</v>
      </c>
      <c r="Q63" s="7">
        <f t="shared" si="35"/>
        <v>13.789063129307033</v>
      </c>
      <c r="T63" s="7">
        <f t="shared" ref="T63:W63" si="36">SUM(T59:T62)</f>
        <v>2.8355491589367867</v>
      </c>
      <c r="U63" s="7">
        <f t="shared" si="36"/>
        <v>13.745966692414834</v>
      </c>
      <c r="V63" s="7">
        <f t="shared" si="36"/>
        <v>2.5915322230804945</v>
      </c>
      <c r="W63" s="7">
        <f t="shared" si="36"/>
        <v>6.7320508075688767</v>
      </c>
    </row>
    <row r="64" spans="1:23" x14ac:dyDescent="0.2">
      <c r="A64" s="18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x14ac:dyDescent="0.2">
      <c r="A65" s="7" t="s">
        <v>30</v>
      </c>
    </row>
    <row r="66" spans="1:23" x14ac:dyDescent="0.2">
      <c r="B66" s="5" t="str">
        <f>$B$12</f>
        <v>Language  Bot</v>
      </c>
      <c r="C66" s="5" t="str">
        <f>$B$13</f>
        <v>FitLife</v>
      </c>
      <c r="D66" s="5" t="str">
        <f>$B$14</f>
        <v>Habit Tracker</v>
      </c>
      <c r="E66" s="5" t="str">
        <f>$B$15</f>
        <v>Recipe Manager</v>
      </c>
      <c r="H66" s="14" t="s">
        <v>17</v>
      </c>
      <c r="I66" s="15" t="s">
        <v>20</v>
      </c>
      <c r="J66" s="15" t="s">
        <v>19</v>
      </c>
      <c r="K66" s="15" t="s">
        <v>18</v>
      </c>
      <c r="N66" s="14" t="s">
        <v>17</v>
      </c>
      <c r="O66" s="15" t="s">
        <v>20</v>
      </c>
      <c r="P66" s="15" t="s">
        <v>19</v>
      </c>
      <c r="Q66" s="15" t="s">
        <v>18</v>
      </c>
      <c r="T66" s="14" t="s">
        <v>17</v>
      </c>
      <c r="U66" s="15" t="s">
        <v>20</v>
      </c>
      <c r="V66" s="15" t="s">
        <v>19</v>
      </c>
      <c r="W66" s="15" t="s">
        <v>18</v>
      </c>
    </row>
    <row r="67" spans="1:23" x14ac:dyDescent="0.2">
      <c r="A67" s="5" t="str">
        <f>A59</f>
        <v>Language  Bot</v>
      </c>
      <c r="B67" s="6">
        <f t="shared" ref="B67:E67" si="37">B59/B63</f>
        <v>6.5945757341964048E-2</v>
      </c>
      <c r="C67" s="6">
        <f t="shared" si="37"/>
        <v>0.12880448197340694</v>
      </c>
      <c r="D67" s="6">
        <f t="shared" si="37"/>
        <v>7.9245895810613823E-2</v>
      </c>
      <c r="E67" s="6">
        <f t="shared" si="37"/>
        <v>4.3309016509340492E-2</v>
      </c>
      <c r="G67" s="5" t="str">
        <f>A67</f>
        <v>Language  Bot</v>
      </c>
      <c r="H67" s="6">
        <f t="shared" ref="H67:K67" si="38">H59/H63</f>
        <v>0.13205111014714627</v>
      </c>
      <c r="I67" s="6">
        <f t="shared" si="38"/>
        <v>0.14420603304189974</v>
      </c>
      <c r="J67" s="6">
        <f t="shared" si="38"/>
        <v>0.22134790150522932</v>
      </c>
      <c r="K67" s="6">
        <f t="shared" si="38"/>
        <v>0.29768737210807239</v>
      </c>
      <c r="M67" s="5" t="str">
        <f>A67</f>
        <v>Language  Bot</v>
      </c>
      <c r="N67" s="6">
        <f t="shared" ref="N67:Q67" si="39">N59/N63</f>
        <v>0.14412612215450382</v>
      </c>
      <c r="O67" s="6">
        <f t="shared" si="39"/>
        <v>0.15319479275711098</v>
      </c>
      <c r="P67" s="6">
        <f t="shared" si="39"/>
        <v>5.9372589637840902E-2</v>
      </c>
      <c r="Q67" s="6">
        <f t="shared" si="39"/>
        <v>0.21756372944756866</v>
      </c>
      <c r="S67" s="5" t="str">
        <f>A67</f>
        <v>Language  Bot</v>
      </c>
      <c r="T67" s="6">
        <f t="shared" ref="T67:W67" si="40">T59/T63</f>
        <v>0.35266537236651491</v>
      </c>
      <c r="U67" s="6">
        <f t="shared" si="40"/>
        <v>0.2817541634481458</v>
      </c>
      <c r="V67" s="6">
        <f t="shared" si="40"/>
        <v>0.38587210727842047</v>
      </c>
      <c r="W67" s="6">
        <f t="shared" si="40"/>
        <v>0.25728427444747209</v>
      </c>
    </row>
    <row r="68" spans="1:23" x14ac:dyDescent="0.2">
      <c r="A68" s="5" t="str">
        <f t="shared" ref="A68:A70" si="41">A60</f>
        <v>FitLife</v>
      </c>
      <c r="B68" s="6">
        <f t="shared" ref="B68:E68" si="42">B60/B63</f>
        <v>0.25540681993846226</v>
      </c>
      <c r="C68" s="6">
        <f t="shared" si="42"/>
        <v>0.49885761359987857</v>
      </c>
      <c r="D68" s="6">
        <f t="shared" si="42"/>
        <v>0.3069180347297954</v>
      </c>
      <c r="E68" s="6">
        <f t="shared" si="42"/>
        <v>0.76865879099051038</v>
      </c>
      <c r="G68" s="5" t="str">
        <f t="shared" ref="G68:G70" si="43">A68</f>
        <v>FitLife</v>
      </c>
      <c r="H68" s="6">
        <f t="shared" ref="H68:K68" si="44">H60/H63</f>
        <v>0.60513420785224892</v>
      </c>
      <c r="I68" s="6">
        <f t="shared" si="44"/>
        <v>0.6608350620838086</v>
      </c>
      <c r="J68" s="6">
        <f t="shared" si="44"/>
        <v>0.33811450452244768</v>
      </c>
      <c r="K68" s="6">
        <f t="shared" si="44"/>
        <v>0.61007756912786248</v>
      </c>
      <c r="M68" s="5" t="str">
        <f t="shared" ref="M68:M70" si="45">A68</f>
        <v>FitLife</v>
      </c>
      <c r="N68" s="6">
        <f t="shared" ref="N68:Q68" si="46">N60/N63</f>
        <v>0.55819807085784923</v>
      </c>
      <c r="O68" s="6">
        <f t="shared" si="46"/>
        <v>0.5933208810739875</v>
      </c>
      <c r="P68" s="6">
        <f t="shared" si="46"/>
        <v>0.78542553437808749</v>
      </c>
      <c r="Q68" s="6">
        <f t="shared" si="46"/>
        <v>0.28087356696306987</v>
      </c>
      <c r="S68" s="5" t="str">
        <f t="shared" ref="S68:S70" si="47">A68</f>
        <v>FitLife</v>
      </c>
      <c r="T68" s="6">
        <f t="shared" ref="T68:W68" si="48">T60/T63</f>
        <v>9.1057807597303295E-2</v>
      </c>
      <c r="U68" s="6">
        <f t="shared" si="48"/>
        <v>7.27486121839514E-2</v>
      </c>
      <c r="V68" s="6">
        <f t="shared" si="48"/>
        <v>9.96317496836856E-2</v>
      </c>
      <c r="W68" s="6">
        <f t="shared" si="48"/>
        <v>0.14854314511050559</v>
      </c>
    </row>
    <row r="69" spans="1:23" x14ac:dyDescent="0.2">
      <c r="A69" s="5" t="str">
        <f t="shared" si="41"/>
        <v>Habit Tracker</v>
      </c>
      <c r="B69" s="6">
        <f t="shared" ref="B69:E69" si="49">B61/B63</f>
        <v>8.5135606641897302E-2</v>
      </c>
      <c r="C69" s="6">
        <f t="shared" si="49"/>
        <v>0.28801557749918416</v>
      </c>
      <c r="D69" s="6">
        <f t="shared" si="49"/>
        <v>0.10230601157659848</v>
      </c>
      <c r="E69" s="6">
        <f t="shared" si="49"/>
        <v>5.8105142972127599E-2</v>
      </c>
      <c r="G69" s="5" t="str">
        <f t="shared" si="43"/>
        <v>Habit Tracker</v>
      </c>
      <c r="H69" s="6">
        <f t="shared" ref="H69:K69" si="50">H61/H63</f>
        <v>3.4095450029873242E-2</v>
      </c>
      <c r="I69" s="6">
        <f t="shared" si="50"/>
        <v>0.11170151287878284</v>
      </c>
      <c r="J69" s="6">
        <f t="shared" si="50"/>
        <v>5.7151782416514182E-2</v>
      </c>
      <c r="K69" s="6">
        <f t="shared" si="50"/>
        <v>1.5372509794010863E-2</v>
      </c>
      <c r="M69" s="5" t="str">
        <f t="shared" si="45"/>
        <v>Habit Tracker</v>
      </c>
      <c r="N69" s="6">
        <f t="shared" ref="N69:Q69" si="51">N61/N63</f>
        <v>0.249633766269479</v>
      </c>
      <c r="O69" s="6">
        <f t="shared" si="51"/>
        <v>0.10028953341179055</v>
      </c>
      <c r="P69" s="6">
        <f t="shared" si="51"/>
        <v>0.13276114643041187</v>
      </c>
      <c r="Q69" s="6">
        <f t="shared" si="51"/>
        <v>0.42904146044017188</v>
      </c>
      <c r="S69" s="5" t="str">
        <f t="shared" si="47"/>
        <v>Habit Tracker</v>
      </c>
      <c r="T69" s="6">
        <f t="shared" ref="T69:W69" si="52">T61/T63</f>
        <v>0.35266537236651491</v>
      </c>
      <c r="U69" s="6">
        <f t="shared" si="52"/>
        <v>0.2817541634481458</v>
      </c>
      <c r="V69" s="6">
        <f t="shared" si="52"/>
        <v>0.38587210727842047</v>
      </c>
      <c r="W69" s="6">
        <f t="shared" si="52"/>
        <v>0.44562943533151678</v>
      </c>
    </row>
    <row r="70" spans="1:23" x14ac:dyDescent="0.2">
      <c r="A70" s="5" t="str">
        <f t="shared" si="41"/>
        <v>Recipe Manager</v>
      </c>
      <c r="B70" s="6">
        <f t="shared" ref="B70:E70" si="53">B62/B63</f>
        <v>0.59351181607767645</v>
      </c>
      <c r="C70" s="6">
        <f t="shared" si="53"/>
        <v>8.4322326927530319E-2</v>
      </c>
      <c r="D70" s="6">
        <f t="shared" si="53"/>
        <v>0.51153005788299233</v>
      </c>
      <c r="E70" s="6">
        <f t="shared" si="53"/>
        <v>0.12992704952802148</v>
      </c>
      <c r="G70" s="5" t="str">
        <f t="shared" si="43"/>
        <v>Recipe Manager</v>
      </c>
      <c r="H70" s="6">
        <f t="shared" ref="H70:K70" si="54">H62/H63</f>
        <v>0.22871923197073143</v>
      </c>
      <c r="I70" s="6">
        <f t="shared" si="54"/>
        <v>8.3257391995508898E-2</v>
      </c>
      <c r="J70" s="6">
        <f t="shared" si="54"/>
        <v>0.38338581155580875</v>
      </c>
      <c r="K70" s="6">
        <f t="shared" si="54"/>
        <v>7.6862548970054304E-2</v>
      </c>
      <c r="M70" s="5" t="str">
        <f t="shared" si="45"/>
        <v>Recipe Manager</v>
      </c>
      <c r="N70" s="6">
        <f t="shared" ref="N70:Q70" si="55">N62/N63</f>
        <v>4.8042040718167943E-2</v>
      </c>
      <c r="O70" s="6">
        <f t="shared" si="55"/>
        <v>0.15319479275711098</v>
      </c>
      <c r="P70" s="6">
        <f t="shared" si="55"/>
        <v>2.2440729553659642E-2</v>
      </c>
      <c r="Q70" s="6">
        <f t="shared" si="55"/>
        <v>7.2521243149189563E-2</v>
      </c>
      <c r="S70" s="5" t="str">
        <f t="shared" si="47"/>
        <v>Recipe Manager</v>
      </c>
      <c r="T70" s="6">
        <f t="shared" ref="T70:W70" si="56">T62/T63</f>
        <v>0.20361144766966696</v>
      </c>
      <c r="U70" s="6">
        <f t="shared" si="56"/>
        <v>0.36374306091975706</v>
      </c>
      <c r="V70" s="6">
        <f t="shared" si="56"/>
        <v>0.12862403575947348</v>
      </c>
      <c r="W70" s="6">
        <f t="shared" si="56"/>
        <v>0.14854314511050559</v>
      </c>
    </row>
    <row r="72" spans="1:23" x14ac:dyDescent="0.2">
      <c r="A72" s="18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x14ac:dyDescent="0.2">
      <c r="A73" s="13" t="s">
        <v>31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x14ac:dyDescent="0.2">
      <c r="B74" s="10" t="s">
        <v>3</v>
      </c>
      <c r="C74" s="10" t="s">
        <v>5</v>
      </c>
      <c r="D74" s="10" t="s">
        <v>7</v>
      </c>
      <c r="E74" s="10" t="s">
        <v>9</v>
      </c>
    </row>
    <row r="75" spans="1:23" x14ac:dyDescent="0.2">
      <c r="A75" s="5" t="str">
        <f>A67</f>
        <v>Language  Bot</v>
      </c>
      <c r="B75" s="6">
        <f t="shared" ref="B75:B78" si="57">AVERAGE(B67:E67)</f>
        <v>7.9326287908831325E-2</v>
      </c>
      <c r="C75" s="6">
        <f t="shared" ref="C75:C78" si="58">AVERAGE(H67:K67)</f>
        <v>0.19882310420058694</v>
      </c>
      <c r="D75" s="6">
        <f t="shared" ref="D75:D78" si="59">AVERAGE(N67:Q67)</f>
        <v>0.14356430849925611</v>
      </c>
      <c r="E75" s="6">
        <f t="shared" ref="E75:E78" si="60">AVERAGE(T67:W67)</f>
        <v>0.31939397938513836</v>
      </c>
    </row>
    <row r="76" spans="1:23" x14ac:dyDescent="0.2">
      <c r="A76" s="5" t="str">
        <f t="shared" ref="A76:A78" si="61">A68</f>
        <v>FitLife</v>
      </c>
      <c r="B76" s="6">
        <f t="shared" si="57"/>
        <v>0.45746031481466165</v>
      </c>
      <c r="C76" s="6">
        <f t="shared" si="58"/>
        <v>0.55354033589659191</v>
      </c>
      <c r="D76" s="6">
        <f t="shared" si="59"/>
        <v>0.55445451331824858</v>
      </c>
      <c r="E76" s="6">
        <f t="shared" si="60"/>
        <v>0.10299532864386148</v>
      </c>
    </row>
    <row r="77" spans="1:23" x14ac:dyDescent="0.2">
      <c r="A77" s="5" t="str">
        <f t="shared" si="61"/>
        <v>Habit Tracker</v>
      </c>
      <c r="B77" s="6">
        <f t="shared" si="57"/>
        <v>0.13339058467245188</v>
      </c>
      <c r="C77" s="6">
        <f t="shared" si="58"/>
        <v>5.4580313779795282E-2</v>
      </c>
      <c r="D77" s="6">
        <f t="shared" si="59"/>
        <v>0.22793147663796332</v>
      </c>
      <c r="E77" s="6">
        <f t="shared" si="60"/>
        <v>0.36648026960614954</v>
      </c>
    </row>
    <row r="78" spans="1:23" x14ac:dyDescent="0.2">
      <c r="A78" s="5" t="str">
        <f t="shared" si="61"/>
        <v>Recipe Manager</v>
      </c>
      <c r="B78" s="6">
        <f t="shared" si="57"/>
        <v>0.3298228126040551</v>
      </c>
      <c r="C78" s="6">
        <f t="shared" si="58"/>
        <v>0.19305624612302585</v>
      </c>
      <c r="D78" s="6">
        <f t="shared" si="59"/>
        <v>7.4049701544532026E-2</v>
      </c>
      <c r="E78" s="6">
        <f t="shared" si="60"/>
        <v>0.21113042236485077</v>
      </c>
    </row>
    <row r="80" spans="1:23" x14ac:dyDescent="0.2">
      <c r="A80" s="18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3" x14ac:dyDescent="0.2">
      <c r="C81" s="4" t="s">
        <v>29</v>
      </c>
    </row>
    <row r="82" spans="1:3" x14ac:dyDescent="0.2">
      <c r="A82" s="5" t="str">
        <f>A75</f>
        <v>Language  Bot</v>
      </c>
      <c r="B82" s="6">
        <f>B75*AF32 + C75*AF33 + D75*AF34+ E75*AF35</f>
        <v>0.20890538469753939</v>
      </c>
      <c r="C82" s="6">
        <f>RANK(B82,B82:B85)</f>
        <v>2</v>
      </c>
    </row>
    <row r="83" spans="1:3" x14ac:dyDescent="0.2">
      <c r="A83" s="5" t="str">
        <f t="shared" ref="A83:A85" si="62">A76</f>
        <v>FitLife</v>
      </c>
      <c r="B83" s="6">
        <f t="shared" ref="B83:B85" si="63">B76*AF33 + C76*AF34 + D76*AF35+ E76*AF36</f>
        <v>0.49741164551559347</v>
      </c>
      <c r="C83" s="6">
        <f>RANK(B83,B82:B85)</f>
        <v>1</v>
      </c>
    </row>
    <row r="84" spans="1:3" x14ac:dyDescent="0.2">
      <c r="A84" s="5" t="str">
        <f t="shared" si="62"/>
        <v>Habit Tracker</v>
      </c>
      <c r="B84" s="6">
        <f t="shared" si="63"/>
        <v>7.4786948625645527E-2</v>
      </c>
      <c r="C84" s="6">
        <f>RANK(B84,B82:B85)</f>
        <v>4</v>
      </c>
    </row>
    <row r="85" spans="1:3" x14ac:dyDescent="0.2">
      <c r="A85" s="5" t="str">
        <f t="shared" si="62"/>
        <v>Recipe Manager</v>
      </c>
      <c r="B85" s="6">
        <f t="shared" si="63"/>
        <v>0.11507530083311923</v>
      </c>
      <c r="C85" s="6">
        <f>RANK(B85,B82:B85)</f>
        <v>3</v>
      </c>
    </row>
  </sheetData>
  <mergeCells count="19">
    <mergeCell ref="A44:E44"/>
    <mergeCell ref="A64:W64"/>
    <mergeCell ref="A72:W72"/>
    <mergeCell ref="A80:W80"/>
    <mergeCell ref="A26:E26"/>
    <mergeCell ref="G26:K26"/>
    <mergeCell ref="M26:Q26"/>
    <mergeCell ref="S26:W26"/>
    <mergeCell ref="Y26:AC26"/>
    <mergeCell ref="A36:E36"/>
    <mergeCell ref="A18:E18"/>
    <mergeCell ref="G18:K18"/>
    <mergeCell ref="M18:Q18"/>
    <mergeCell ref="S18:W18"/>
    <mergeCell ref="Y18:AC18"/>
    <mergeCell ref="A19:E19"/>
    <mergeCell ref="G19:K19"/>
    <mergeCell ref="M19:Q19"/>
    <mergeCell ref="S19:W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Рындин</dc:creator>
  <cp:lastModifiedBy>Денис Рындин</cp:lastModifiedBy>
  <dcterms:created xsi:type="dcterms:W3CDTF">2025-12-23T08:28:06Z</dcterms:created>
  <dcterms:modified xsi:type="dcterms:W3CDTF">2025-12-23T13:29:07Z</dcterms:modified>
</cp:coreProperties>
</file>